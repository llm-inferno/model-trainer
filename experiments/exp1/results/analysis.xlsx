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tawi/Projects/llm-inferno/model-trainer/experiments/exp1/results/"/>
    </mc:Choice>
  </mc:AlternateContent>
  <xr:revisionPtr revIDLastSave="0" documentId="13_ncr:1_{D07810C3-2B15-9D46-A971-A634385FF013}" xr6:coauthVersionLast="47" xr6:coauthVersionMax="47" xr10:uidLastSave="{00000000-0000-0000-0000-000000000000}"/>
  <bookViews>
    <workbookView xWindow="-33780" yWindow="1420" windowWidth="29240" windowHeight="18260" xr2:uid="{1BD96BC6-2455-9249-B916-D3A3FB32BDA6}"/>
  </bookViews>
  <sheets>
    <sheet name="main" sheetId="1" r:id="rId1"/>
    <sheet name="out" sheetId="20" r:id="rId2"/>
    <sheet name="data" sheetId="21" r:id="rId3"/>
  </sheets>
  <definedNames>
    <definedName name="alpha">data!$D$4:$D$19</definedName>
    <definedName name="avgError">data!$I$4:$I$19</definedName>
    <definedName name="avgITLError">data!$H$4:$H$19</definedName>
    <definedName name="avgTTFTError">data!$G$4:$G$19</definedName>
    <definedName name="beta">data!$E$4:$E$19</definedName>
    <definedName name="gamma">data!$F$4:$F$19</definedName>
    <definedName name="inTokens">data!$B$4:$B$19</definedName>
    <definedName name="outTokens">data!$C$4:$C$19</definedName>
    <definedName name="table">data!$B$4:$I$19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0" i="1" l="1" a="1"/>
  <c r="E80" i="1" s="1"/>
  <c r="F80" i="1" a="1"/>
  <c r="F80" i="1" s="1"/>
  <c r="G80" i="1" a="1"/>
  <c r="G80" i="1" s="1"/>
  <c r="E81" i="1" a="1"/>
  <c r="E81" i="1" s="1"/>
  <c r="F81" i="1" a="1"/>
  <c r="F81" i="1" s="1"/>
  <c r="G81" i="1" a="1"/>
  <c r="G81" i="1" s="1"/>
  <c r="E82" i="1" a="1"/>
  <c r="E82" i="1" s="1"/>
  <c r="F82" i="1" a="1"/>
  <c r="F82" i="1" s="1"/>
  <c r="G82" i="1" a="1"/>
  <c r="G82" i="1" s="1"/>
  <c r="E83" i="1" a="1"/>
  <c r="E83" i="1" s="1"/>
  <c r="F83" i="1" a="1"/>
  <c r="F83" i="1" s="1"/>
  <c r="G83" i="1" a="1"/>
  <c r="G83" i="1" s="1"/>
  <c r="D81" i="1" a="1"/>
  <c r="D81" i="1" s="1"/>
  <c r="D82" i="1" a="1"/>
  <c r="D82" i="1" s="1"/>
  <c r="D83" i="1" a="1"/>
  <c r="D83" i="1" s="1"/>
  <c r="D80" i="1" a="1"/>
  <c r="D80" i="1" s="1"/>
  <c r="C81" i="1"/>
  <c r="C82" i="1"/>
  <c r="C83" i="1"/>
  <c r="C80" i="1"/>
  <c r="E79" i="1"/>
  <c r="F79" i="1"/>
  <c r="G79" i="1"/>
  <c r="D79" i="1"/>
  <c r="B82" i="1"/>
  <c r="E78" i="1"/>
  <c r="E66" i="1" a="1"/>
  <c r="E66" i="1" s="1"/>
  <c r="F66" i="1" a="1"/>
  <c r="F66" i="1" s="1"/>
  <c r="G66" i="1" a="1"/>
  <c r="G66" i="1" s="1"/>
  <c r="E67" i="1" a="1"/>
  <c r="E67" i="1" s="1"/>
  <c r="F67" i="1" a="1"/>
  <c r="F67" i="1" s="1"/>
  <c r="G67" i="1" a="1"/>
  <c r="G67" i="1" s="1"/>
  <c r="E68" i="1" a="1"/>
  <c r="E68" i="1" s="1"/>
  <c r="F68" i="1" a="1"/>
  <c r="F68" i="1" s="1"/>
  <c r="G68" i="1" a="1"/>
  <c r="G68" i="1" s="1"/>
  <c r="E69" i="1" a="1"/>
  <c r="E69" i="1" s="1"/>
  <c r="F69" i="1" a="1"/>
  <c r="F69" i="1"/>
  <c r="G69" i="1" a="1"/>
  <c r="G69" i="1" s="1"/>
  <c r="D67" i="1" a="1"/>
  <c r="D67" i="1" s="1"/>
  <c r="D68" i="1" a="1"/>
  <c r="D68" i="1" s="1"/>
  <c r="D69" i="1" a="1"/>
  <c r="D69" i="1" s="1"/>
  <c r="D66" i="1" a="1"/>
  <c r="D66" i="1" s="1"/>
  <c r="G5" i="21"/>
  <c r="H5" i="21"/>
  <c r="G6" i="21"/>
  <c r="H6" i="21"/>
  <c r="G7" i="21"/>
  <c r="H7" i="21"/>
  <c r="G8" i="21"/>
  <c r="H8" i="21"/>
  <c r="G9" i="21"/>
  <c r="H9" i="21"/>
  <c r="G10" i="21"/>
  <c r="H10" i="21"/>
  <c r="G11" i="21"/>
  <c r="H11" i="21"/>
  <c r="G12" i="21"/>
  <c r="H12" i="21"/>
  <c r="G13" i="21"/>
  <c r="H13" i="21"/>
  <c r="G14" i="21"/>
  <c r="H14" i="21"/>
  <c r="G15" i="21"/>
  <c r="H15" i="21"/>
  <c r="G16" i="21"/>
  <c r="H16" i="21"/>
  <c r="G17" i="21"/>
  <c r="H17" i="21"/>
  <c r="G18" i="21"/>
  <c r="H18" i="21"/>
  <c r="G19" i="21"/>
  <c r="H19" i="21"/>
  <c r="H4" i="21"/>
  <c r="G4" i="21"/>
  <c r="B67" i="1"/>
  <c r="C69" i="1"/>
  <c r="C68" i="1"/>
  <c r="C67" i="1"/>
  <c r="C66" i="1"/>
  <c r="D65" i="1"/>
  <c r="F65" i="1"/>
  <c r="G65" i="1"/>
  <c r="E65" i="1"/>
  <c r="E64" i="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4" i="21"/>
  <c r="D5" i="21"/>
  <c r="E5" i="21"/>
  <c r="F5" i="21"/>
  <c r="D6" i="21"/>
  <c r="E6" i="21"/>
  <c r="F6" i="21"/>
  <c r="D7" i="21"/>
  <c r="E7" i="21"/>
  <c r="F7" i="21"/>
  <c r="D8" i="21"/>
  <c r="E8" i="21"/>
  <c r="F8" i="21"/>
  <c r="D9" i="21"/>
  <c r="E9" i="21"/>
  <c r="F9" i="21"/>
  <c r="D10" i="21"/>
  <c r="E10" i="21"/>
  <c r="F10" i="21"/>
  <c r="D11" i="21"/>
  <c r="E11" i="21"/>
  <c r="F11" i="21"/>
  <c r="D12" i="21"/>
  <c r="E12" i="21"/>
  <c r="F12" i="21"/>
  <c r="D13" i="21"/>
  <c r="E13" i="21"/>
  <c r="F13" i="21"/>
  <c r="D14" i="21"/>
  <c r="E14" i="21"/>
  <c r="F14" i="21"/>
  <c r="D15" i="21"/>
  <c r="E15" i="21"/>
  <c r="F15" i="21"/>
  <c r="D16" i="21"/>
  <c r="E16" i="21"/>
  <c r="F16" i="21"/>
  <c r="D17" i="21"/>
  <c r="E17" i="21"/>
  <c r="F17" i="21"/>
  <c r="D18" i="21"/>
  <c r="E18" i="21"/>
  <c r="F18" i="21"/>
  <c r="D19" i="21"/>
  <c r="E19" i="21"/>
  <c r="F19" i="21"/>
  <c r="F4" i="21"/>
  <c r="E4" i="21"/>
  <c r="D4" i="21"/>
  <c r="C5" i="21"/>
  <c r="C6" i="21"/>
  <c r="C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4" i="21"/>
  <c r="B51" i="1"/>
  <c r="C53" i="1"/>
  <c r="C52" i="1"/>
  <c r="C51" i="1"/>
  <c r="C50" i="1"/>
  <c r="G49" i="1"/>
  <c r="F49" i="1"/>
  <c r="E49" i="1"/>
  <c r="D49" i="1"/>
  <c r="E48" i="1"/>
  <c r="B21" i="1"/>
  <c r="B36" i="1" s="1"/>
  <c r="C21" i="1"/>
  <c r="C36" i="1" s="1"/>
  <c r="C22" i="1"/>
  <c r="C37" i="1" s="1"/>
  <c r="C23" i="1"/>
  <c r="C38" i="1" s="1"/>
  <c r="C20" i="1"/>
  <c r="C35" i="1" s="1"/>
  <c r="E19" i="1"/>
  <c r="E34" i="1" s="1"/>
  <c r="F19" i="1"/>
  <c r="F34" i="1" s="1"/>
  <c r="G19" i="1"/>
  <c r="G34" i="1" s="1"/>
  <c r="D19" i="1"/>
  <c r="D34" i="1" s="1"/>
  <c r="E18" i="1"/>
  <c r="E33" i="1" s="1"/>
  <c r="E21" i="1" l="1" a="1"/>
  <c r="E21" i="1" s="1"/>
  <c r="F21" i="1" a="1"/>
  <c r="F21" i="1" s="1"/>
  <c r="G21" i="1" a="1"/>
  <c r="G21" i="1" s="1"/>
  <c r="E22" i="1" a="1"/>
  <c r="E22" i="1" s="1"/>
  <c r="F22" i="1" a="1"/>
  <c r="F22" i="1" s="1"/>
  <c r="G22" i="1" a="1"/>
  <c r="G22" i="1" s="1"/>
  <c r="E23" i="1" a="1"/>
  <c r="E23" i="1" s="1"/>
  <c r="F23" i="1" a="1"/>
  <c r="F23" i="1" s="1"/>
  <c r="G23" i="1" a="1"/>
  <c r="G23" i="1" s="1"/>
  <c r="D21" i="1" a="1"/>
  <c r="D21" i="1" s="1"/>
  <c r="D22" i="1" a="1"/>
  <c r="D22" i="1" s="1"/>
  <c r="D23" i="1" a="1"/>
  <c r="D23" i="1" s="1"/>
  <c r="D20" i="1" a="1"/>
  <c r="D20" i="1" s="1"/>
  <c r="E5" i="1" a="1"/>
  <c r="E5" i="1" s="1"/>
  <c r="F5" i="1" a="1"/>
  <c r="F5" i="1" s="1"/>
  <c r="G5" i="1" a="1"/>
  <c r="G5" i="1" s="1"/>
  <c r="E6" i="1" a="1"/>
  <c r="E6" i="1" s="1"/>
  <c r="F6" i="1" a="1"/>
  <c r="F6" i="1" s="1"/>
  <c r="G6" i="1" a="1"/>
  <c r="G6" i="1" s="1"/>
  <c r="E7" i="1" a="1"/>
  <c r="E7" i="1" s="1"/>
  <c r="F7" i="1" a="1"/>
  <c r="F7" i="1" s="1"/>
  <c r="G7" i="1" a="1"/>
  <c r="G7" i="1" s="1"/>
  <c r="E8" i="1" a="1"/>
  <c r="E8" i="1" s="1"/>
  <c r="F8" i="1" a="1"/>
  <c r="F8" i="1" s="1"/>
  <c r="G8" i="1" a="1"/>
  <c r="G8" i="1" s="1"/>
  <c r="D6" i="1" a="1"/>
  <c r="D6" i="1" s="1"/>
  <c r="D7" i="1" a="1"/>
  <c r="D7" i="1" s="1"/>
  <c r="D8" i="1" a="1"/>
  <c r="D8" i="1" s="1"/>
  <c r="D5" i="1" a="1"/>
  <c r="D5" i="1" s="1"/>
  <c r="E50" i="1" a="1"/>
  <c r="E50" i="1" s="1"/>
  <c r="F50" i="1" a="1"/>
  <c r="F50" i="1" s="1"/>
  <c r="G50" i="1" a="1"/>
  <c r="G50" i="1" s="1"/>
  <c r="E51" i="1" a="1"/>
  <c r="E51" i="1" s="1"/>
  <c r="F51" i="1" a="1"/>
  <c r="F51" i="1" s="1"/>
  <c r="G51" i="1" a="1"/>
  <c r="G51" i="1" s="1"/>
  <c r="E52" i="1" a="1"/>
  <c r="E52" i="1" s="1"/>
  <c r="F52" i="1" a="1"/>
  <c r="F52" i="1" s="1"/>
  <c r="G52" i="1" a="1"/>
  <c r="G52" i="1" s="1"/>
  <c r="E53" i="1" a="1"/>
  <c r="E53" i="1" s="1"/>
  <c r="F53" i="1" a="1"/>
  <c r="F53" i="1" s="1"/>
  <c r="G53" i="1" a="1"/>
  <c r="G53" i="1" s="1"/>
  <c r="D51" i="1" a="1"/>
  <c r="D51" i="1" s="1"/>
  <c r="D52" i="1" a="1"/>
  <c r="D52" i="1" s="1"/>
  <c r="D53" i="1" a="1"/>
  <c r="D53" i="1" s="1"/>
  <c r="D50" i="1" a="1"/>
  <c r="D50" i="1" s="1"/>
  <c r="E35" i="1" a="1"/>
  <c r="E35" i="1" s="1"/>
  <c r="F35" i="1" a="1"/>
  <c r="F35" i="1" s="1"/>
  <c r="G35" i="1" a="1"/>
  <c r="G35" i="1" s="1"/>
  <c r="E36" i="1" a="1"/>
  <c r="E36" i="1" s="1"/>
  <c r="F36" i="1" a="1"/>
  <c r="F36" i="1" s="1"/>
  <c r="G36" i="1" a="1"/>
  <c r="G36" i="1" s="1"/>
  <c r="E37" i="1" a="1"/>
  <c r="E37" i="1" s="1"/>
  <c r="F37" i="1" a="1"/>
  <c r="F37" i="1" s="1"/>
  <c r="G37" i="1" a="1"/>
  <c r="G37" i="1" s="1"/>
  <c r="D36" i="1" a="1"/>
  <c r="D36" i="1" s="1"/>
  <c r="D37" i="1" a="1"/>
  <c r="D37" i="1" s="1"/>
  <c r="D38" i="1" a="1"/>
  <c r="D38" i="1" s="1"/>
  <c r="D35" i="1" a="1"/>
  <c r="D35" i="1" s="1"/>
  <c r="G20" i="1" a="1"/>
  <c r="G20" i="1" s="1"/>
  <c r="F38" i="1" a="1"/>
  <c r="F38" i="1" s="1"/>
  <c r="F20" i="1" a="1"/>
  <c r="F20" i="1" s="1"/>
  <c r="E38" i="1" a="1"/>
  <c r="E38" i="1" s="1"/>
  <c r="G38" i="1" a="1"/>
  <c r="G38" i="1" s="1"/>
  <c r="E20" i="1" a="1"/>
  <c r="E2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<sst xmlns="http://schemas.openxmlformats.org/spreadsheetml/2006/main" count="145" uniqueCount="30">
  <si>
    <t>beta</t>
  </si>
  <si>
    <t>gamma</t>
  </si>
  <si>
    <t>inTokens</t>
  </si>
  <si>
    <t>outTokens</t>
  </si>
  <si>
    <t>alpha</t>
  </si>
  <si>
    <t>sweep-i1024-o1024</t>
  </si>
  <si>
    <t>Summary</t>
  </si>
  <si>
    <t>sweep-i1024-o256</t>
  </si>
  <si>
    <t>sweep-i1024-o4096</t>
  </si>
  <si>
    <t>sweep-i1024-o64</t>
  </si>
  <si>
    <t>sweep-i256-o1024</t>
  </si>
  <si>
    <t>sweep-i256-o256</t>
  </si>
  <si>
    <t>sweep-i256-o4096</t>
  </si>
  <si>
    <t>sweep-i256-o64</t>
  </si>
  <si>
    <t>sweep-i4096-o1024</t>
  </si>
  <si>
    <t>sweep-i4096-o256</t>
  </si>
  <si>
    <t>sweep-i4096-o4096</t>
  </si>
  <si>
    <t>sweep-i4096-o64</t>
  </si>
  <si>
    <t>sweep-i64-o1024</t>
  </si>
  <si>
    <t>sweep-i64-o256</t>
  </si>
  <si>
    <t>sweep-i64-o4096</t>
  </si>
  <si>
    <t>sweep-i64-o64</t>
  </si>
  <si>
    <t>errTTFT</t>
  </si>
  <si>
    <t>errITL</t>
  </si>
  <si>
    <t>errWeightedAvg</t>
  </si>
  <si>
    <t>avgError</t>
  </si>
  <si>
    <t>\</t>
  </si>
  <si>
    <t>avgWeightedError</t>
  </si>
  <si>
    <t>avgTTFTError</t>
  </si>
  <si>
    <t>avgITLError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</si>
</sst>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0"/>
    <numFmt numFmtId="167" formatCode="0.00000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4"/>
      <color theme="0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DFF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FF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3" borderId="0" xfId="0" applyNumberFormat="1" applyFill="1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165" fontId="0" fillId="3" borderId="0" xfId="0" applyNumberFormat="1" applyFill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166" fontId="0" fillId="3" borderId="0" xfId="0" applyNumberFormat="1" applyFill="1"/>
    <xf numFmtId="0" fontId="3" fillId="0" borderId="0" xfId="0" applyFont="1" applyAlignment="1">
      <alignment horizontal="center"/>
    </xf>
    <xf numFmtId="0" fontId="3" fillId="6" borderId="0" xfId="0" applyFont="1" applyFill="1" applyAlignment="1">
      <alignment horizontal="left"/>
    </xf>
    <xf numFmtId="0" fontId="1" fillId="6" borderId="0" xfId="0" applyFont="1" applyFill="1"/>
    <xf numFmtId="0" fontId="3" fillId="8" borderId="0" xfId="0" applyFont="1" applyFill="1" applyAlignment="1">
      <alignment horizontal="left"/>
    </xf>
    <xf numFmtId="0" fontId="1" fillId="8" borderId="0" xfId="0" applyFont="1" applyFill="1"/>
    <xf numFmtId="1" fontId="0" fillId="0" borderId="0" xfId="0" applyNumberFormat="1"/>
    <xf numFmtId="10" fontId="1" fillId="0" borderId="0" xfId="0" applyNumberFormat="1" applyFont="1"/>
    <xf numFmtId="1" fontId="1" fillId="2" borderId="0" xfId="0" applyNumberFormat="1" applyFont="1" applyFill="1"/>
    <xf numFmtId="0" fontId="3" fillId="9" borderId="0" xfId="0" applyFont="1" applyFill="1" applyAlignment="1">
      <alignment horizontal="left"/>
    </xf>
    <xf numFmtId="0" fontId="1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300"/>
      <color rgb="FF3CA600"/>
      <color rgb="FF0432FF"/>
      <color rgb="FFFF40FF"/>
      <color rgb="FF00FA00"/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alpha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main!$D$4</c:f>
              <c:strCache>
                <c:ptCount val="1"/>
                <c:pt idx="0">
                  <c:v>64</c:v>
                </c:pt>
              </c:strCache>
            </c:strRef>
          </c:tx>
          <c:spPr>
            <a:solidFill>
              <a:srgbClr val="0432FF"/>
            </a:solidFill>
            <a:ln>
              <a:noFill/>
            </a:ln>
            <a:effectLst/>
          </c:spPr>
          <c:invertIfNegative val="0"/>
          <c:cat>
            <c:numRef>
              <c:f>main!$C$5:$C$8</c:f>
              <c:numCache>
                <c:formatCode>General</c:formatCode>
                <c:ptCount val="4"/>
                <c:pt idx="0">
                  <c:v>64</c:v>
                </c:pt>
                <c:pt idx="1">
                  <c:v>256</c:v>
                </c:pt>
                <c:pt idx="2">
                  <c:v>1024</c:v>
                </c:pt>
                <c:pt idx="3">
                  <c:v>4096</c:v>
                </c:pt>
              </c:numCache>
            </c:numRef>
          </c:cat>
          <c:val>
            <c:numRef>
              <c:f>main!$D$5:$D$8</c:f>
              <c:numCache>
                <c:formatCode>0.000</c:formatCode>
                <c:ptCount val="4"/>
                <c:pt idx="0">
                  <c:v>6.0279259999999999</c:v>
                </c:pt>
                <c:pt idx="1">
                  <c:v>6.0294220000000003</c:v>
                </c:pt>
                <c:pt idx="2">
                  <c:v>6.0254690000000002</c:v>
                </c:pt>
                <c:pt idx="3">
                  <c:v>6.0279179999999997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DF-3044-A81F-AA9541737070}"/>
            </c:ext>
          </c:extLst>
        </c:ser>
        <c:ser>
          <c:idx val="1"/>
          <c:order val="1"/>
          <c:tx>
            <c:strRef>
              <c:f>main!$E$4</c:f>
              <c:strCache>
                <c:ptCount val="1"/>
                <c:pt idx="0">
                  <c:v>256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CA6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7DF-3044-A81F-AA9541737070}"/>
              </c:ext>
            </c:extLst>
          </c:dPt>
          <c:cat>
            <c:numRef>
              <c:f>main!$C$5:$C$8</c:f>
              <c:numCache>
                <c:formatCode>General</c:formatCode>
                <c:ptCount val="4"/>
                <c:pt idx="0">
                  <c:v>64</c:v>
                </c:pt>
                <c:pt idx="1">
                  <c:v>256</c:v>
                </c:pt>
                <c:pt idx="2">
                  <c:v>1024</c:v>
                </c:pt>
                <c:pt idx="3">
                  <c:v>4096</c:v>
                </c:pt>
              </c:numCache>
            </c:numRef>
          </c:cat>
          <c:val>
            <c:numRef>
              <c:f>main!$E$5:$E$8</c:f>
              <c:numCache>
                <c:formatCode>0.000</c:formatCode>
                <c:ptCount val="4"/>
                <c:pt idx="0">
                  <c:v>6.0166979999999999</c:v>
                </c:pt>
                <c:pt idx="1">
                  <c:v>6.0149780000000002</c:v>
                </c:pt>
                <c:pt idx="2">
                  <c:v>6.0269019999999998</c:v>
                </c:pt>
                <c:pt idx="3">
                  <c:v>6.0260990000000003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DF-3044-A81F-AA9541737070}"/>
            </c:ext>
          </c:extLst>
        </c:ser>
        <c:ser>
          <c:idx val="2"/>
          <c:order val="2"/>
          <c:tx>
            <c:strRef>
              <c:f>main!$F$4</c:f>
              <c:strCache>
                <c:ptCount val="1"/>
                <c:pt idx="0">
                  <c:v>1024</c:v>
                </c:pt>
              </c:strCache>
            </c:strRef>
          </c:tx>
          <c:spPr>
            <a:solidFill>
              <a:srgbClr val="FF9300"/>
            </a:solidFill>
            <a:ln>
              <a:noFill/>
            </a:ln>
            <a:effectLst/>
          </c:spPr>
          <c:invertIfNegative val="0"/>
          <c:cat>
            <c:numRef>
              <c:f>main!$C$5:$C$8</c:f>
              <c:numCache>
                <c:formatCode>General</c:formatCode>
                <c:ptCount val="4"/>
                <c:pt idx="0">
                  <c:v>64</c:v>
                </c:pt>
                <c:pt idx="1">
                  <c:v>256</c:v>
                </c:pt>
                <c:pt idx="2">
                  <c:v>1024</c:v>
                </c:pt>
                <c:pt idx="3">
                  <c:v>4096</c:v>
                </c:pt>
              </c:numCache>
            </c:numRef>
          </c:cat>
          <c:val>
            <c:numRef>
              <c:f>main!$F$5:$F$8</c:f>
              <c:numCache>
                <c:formatCode>0.000</c:formatCode>
                <c:ptCount val="4"/>
                <c:pt idx="0">
                  <c:v>6.0000239999999998</c:v>
                </c:pt>
                <c:pt idx="1">
                  <c:v>6.0166680000000001</c:v>
                </c:pt>
                <c:pt idx="2">
                  <c:v>6.0167380000000001</c:v>
                </c:pt>
                <c:pt idx="3">
                  <c:v>6.0239339999999997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DF-3044-A81F-AA9541737070}"/>
            </c:ext>
          </c:extLst>
        </c:ser>
        <c:ser>
          <c:idx val="3"/>
          <c:order val="3"/>
          <c:tx>
            <c:strRef>
              <c:f>main!$G$4</c:f>
              <c:strCache>
                <c:ptCount val="1"/>
                <c:pt idx="0">
                  <c:v>4096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main!$C$5:$C$8</c:f>
              <c:numCache>
                <c:formatCode>General</c:formatCode>
                <c:ptCount val="4"/>
                <c:pt idx="0">
                  <c:v>64</c:v>
                </c:pt>
                <c:pt idx="1">
                  <c:v>256</c:v>
                </c:pt>
                <c:pt idx="2">
                  <c:v>1024</c:v>
                </c:pt>
                <c:pt idx="3">
                  <c:v>4096</c:v>
                </c:pt>
              </c:numCache>
            </c:numRef>
          </c:cat>
          <c:val>
            <c:numRef>
              <c:f>main!$G$5:$G$8</c:f>
              <c:numCache>
                <c:formatCode>0.000</c:formatCode>
                <c:ptCount val="4"/>
                <c:pt idx="0">
                  <c:v>6.0987790000000004</c:v>
                </c:pt>
                <c:pt idx="1">
                  <c:v>6.0000540000000004</c:v>
                </c:pt>
                <c:pt idx="2">
                  <c:v>6.0088249999999999</c:v>
                </c:pt>
                <c:pt idx="3">
                  <c:v>6.0236980000000004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DF-3044-A81F-AA9541737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6327680"/>
        <c:axId val="1686329472"/>
      </c:barChart>
      <c:catAx>
        <c:axId val="1686327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inTokens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329472"/>
        <c:crosses val="autoZero"/>
        <c:auto val="1"/>
        <c:lblAlgn val="ctr"/>
        <c:lblOffset val="100"/>
        <c:noMultiLvlLbl val="0"/>
      </c:catAx>
      <c:valAx>
        <c:axId val="1686329472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32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beta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main!$D$4</c:f>
              <c:strCache>
                <c:ptCount val="1"/>
                <c:pt idx="0">
                  <c:v>64</c:v>
                </c:pt>
              </c:strCache>
            </c:strRef>
          </c:tx>
          <c:spPr>
            <a:solidFill>
              <a:srgbClr val="0432FF"/>
            </a:solidFill>
            <a:ln>
              <a:noFill/>
            </a:ln>
            <a:effectLst/>
          </c:spPr>
          <c:invertIfNegative val="0"/>
          <c:cat>
            <c:numRef>
              <c:f>main!$C$20:$C$23</c:f>
              <c:numCache>
                <c:formatCode>General</c:formatCode>
                <c:ptCount val="4"/>
                <c:pt idx="0">
                  <c:v>64</c:v>
                </c:pt>
                <c:pt idx="1">
                  <c:v>256</c:v>
                </c:pt>
                <c:pt idx="2">
                  <c:v>1024</c:v>
                </c:pt>
                <c:pt idx="3">
                  <c:v>4096</c:v>
                </c:pt>
              </c:numCache>
            </c:numRef>
          </c:cat>
          <c:val>
            <c:numRef>
              <c:f>main!$D$20:$D$23</c:f>
              <c:numCache>
                <c:formatCode>0.000</c:formatCode>
                <c:ptCount val="4"/>
                <c:pt idx="0">
                  <c:v>2.2009101E-2</c:v>
                </c:pt>
                <c:pt idx="1">
                  <c:v>1.5459432E-2</c:v>
                </c:pt>
                <c:pt idx="2">
                  <c:v>1.5826951999999998E-2</c:v>
                </c:pt>
                <c:pt idx="3">
                  <c:v>2.1128778000000001E-2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50-9B4D-83E0-E40651D9F26E}"/>
            </c:ext>
          </c:extLst>
        </c:ser>
        <c:ser>
          <c:idx val="1"/>
          <c:order val="1"/>
          <c:tx>
            <c:strRef>
              <c:f>main!$E$4</c:f>
              <c:strCache>
                <c:ptCount val="1"/>
                <c:pt idx="0">
                  <c:v>256</c:v>
                </c:pt>
              </c:strCache>
            </c:strRef>
          </c:tx>
          <c:spPr>
            <a:solidFill>
              <a:srgbClr val="3CA600"/>
            </a:solidFill>
            <a:ln>
              <a:noFill/>
            </a:ln>
            <a:effectLst/>
          </c:spPr>
          <c:invertIfNegative val="0"/>
          <c:cat>
            <c:numRef>
              <c:f>main!$C$20:$C$23</c:f>
              <c:numCache>
                <c:formatCode>General</c:formatCode>
                <c:ptCount val="4"/>
                <c:pt idx="0">
                  <c:v>64</c:v>
                </c:pt>
                <c:pt idx="1">
                  <c:v>256</c:v>
                </c:pt>
                <c:pt idx="2">
                  <c:v>1024</c:v>
                </c:pt>
                <c:pt idx="3">
                  <c:v>4096</c:v>
                </c:pt>
              </c:numCache>
            </c:numRef>
          </c:cat>
          <c:val>
            <c:numRef>
              <c:f>main!$E$20:$E$23</c:f>
              <c:numCache>
                <c:formatCode>0.000</c:formatCode>
                <c:ptCount val="4"/>
                <c:pt idx="0">
                  <c:v>3.3311078000000001E-2</c:v>
                </c:pt>
                <c:pt idx="1">
                  <c:v>2.5434095E-2</c:v>
                </c:pt>
                <c:pt idx="2">
                  <c:v>1.9984866E-2</c:v>
                </c:pt>
                <c:pt idx="3">
                  <c:v>2.3400079000000001E-2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50-9B4D-83E0-E40651D9F26E}"/>
            </c:ext>
          </c:extLst>
        </c:ser>
        <c:ser>
          <c:idx val="2"/>
          <c:order val="2"/>
          <c:tx>
            <c:strRef>
              <c:f>main!$F$4</c:f>
              <c:strCache>
                <c:ptCount val="1"/>
                <c:pt idx="0">
                  <c:v>1024</c:v>
                </c:pt>
              </c:strCache>
            </c:strRef>
          </c:tx>
          <c:spPr>
            <a:solidFill>
              <a:srgbClr val="FF9300"/>
            </a:solidFill>
            <a:ln>
              <a:noFill/>
            </a:ln>
            <a:effectLst/>
          </c:spPr>
          <c:invertIfNegative val="0"/>
          <c:cat>
            <c:numRef>
              <c:f>main!$C$20:$C$23</c:f>
              <c:numCache>
                <c:formatCode>General</c:formatCode>
                <c:ptCount val="4"/>
                <c:pt idx="0">
                  <c:v>64</c:v>
                </c:pt>
                <c:pt idx="1">
                  <c:v>256</c:v>
                </c:pt>
                <c:pt idx="2">
                  <c:v>1024</c:v>
                </c:pt>
                <c:pt idx="3">
                  <c:v>4096</c:v>
                </c:pt>
              </c:numCache>
            </c:numRef>
          </c:cat>
          <c:val>
            <c:numRef>
              <c:f>main!$F$20:$F$23</c:f>
              <c:numCache>
                <c:formatCode>0.000</c:formatCode>
                <c:ptCount val="4"/>
                <c:pt idx="0">
                  <c:v>4.9968895999999999E-2</c:v>
                </c:pt>
                <c:pt idx="1">
                  <c:v>3.3372935999999999E-2</c:v>
                </c:pt>
                <c:pt idx="2">
                  <c:v>2.5064985000000001E-2</c:v>
                </c:pt>
                <c:pt idx="3">
                  <c:v>2.5388566000000001E-2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50-9B4D-83E0-E40651D9F26E}"/>
            </c:ext>
          </c:extLst>
        </c:ser>
        <c:ser>
          <c:idx val="3"/>
          <c:order val="3"/>
          <c:tx>
            <c:strRef>
              <c:f>main!$G$4</c:f>
              <c:strCache>
                <c:ptCount val="1"/>
                <c:pt idx="0">
                  <c:v>4096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main!$C$20:$C$23</c:f>
              <c:numCache>
                <c:formatCode>General</c:formatCode>
                <c:ptCount val="4"/>
                <c:pt idx="0">
                  <c:v>64</c:v>
                </c:pt>
                <c:pt idx="1">
                  <c:v>256</c:v>
                </c:pt>
                <c:pt idx="2">
                  <c:v>1024</c:v>
                </c:pt>
                <c:pt idx="3">
                  <c:v>4096</c:v>
                </c:pt>
              </c:numCache>
            </c:numRef>
          </c:cat>
          <c:val>
            <c:numRef>
              <c:f>main!$G$20:$G$23</c:f>
              <c:numCache>
                <c:formatCode>0.000</c:formatCode>
                <c:ptCount val="4"/>
                <c:pt idx="0">
                  <c:v>0.14695438</c:v>
                </c:pt>
                <c:pt idx="1">
                  <c:v>4.9957213E-2</c:v>
                </c:pt>
                <c:pt idx="2">
                  <c:v>2.9330378000000001E-2</c:v>
                </c:pt>
                <c:pt idx="3">
                  <c:v>2.5792131999999999E-2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50-9B4D-83E0-E40651D9F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6327680"/>
        <c:axId val="1686329472"/>
      </c:barChart>
      <c:catAx>
        <c:axId val="1686327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inTokens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329472"/>
        <c:crossesAt val="0.01"/>
        <c:auto val="1"/>
        <c:lblAlgn val="ctr"/>
        <c:lblOffset val="100"/>
        <c:noMultiLvlLbl val="0"/>
      </c:catAx>
      <c:valAx>
        <c:axId val="168632947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32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avgWeightedError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main!$D$4</c:f>
              <c:strCache>
                <c:ptCount val="1"/>
                <c:pt idx="0">
                  <c:v>64</c:v>
                </c:pt>
              </c:strCache>
            </c:strRef>
          </c:tx>
          <c:spPr>
            <a:solidFill>
              <a:srgbClr val="0432FF"/>
            </a:solidFill>
            <a:ln>
              <a:noFill/>
            </a:ln>
            <a:effectLst/>
          </c:spPr>
          <c:invertIfNegative val="0"/>
          <c:cat>
            <c:numRef>
              <c:f>main!$C$50:$C$53</c:f>
              <c:numCache>
                <c:formatCode>General</c:formatCode>
                <c:ptCount val="4"/>
                <c:pt idx="0">
                  <c:v>64</c:v>
                </c:pt>
                <c:pt idx="1">
                  <c:v>256</c:v>
                </c:pt>
                <c:pt idx="2">
                  <c:v>1024</c:v>
                </c:pt>
                <c:pt idx="3">
                  <c:v>4096</c:v>
                </c:pt>
              </c:numCache>
            </c:numRef>
          </c:cat>
          <c:val>
            <c:numRef>
              <c:f>main!$D$50:$D$53</c:f>
              <c:numCache>
                <c:formatCode>0.00000</c:formatCode>
                <c:ptCount val="4"/>
                <c:pt idx="0">
                  <c:v>0.93090399999999995</c:v>
                </c:pt>
                <c:pt idx="1">
                  <c:v>1.2591429999999999</c:v>
                </c:pt>
                <c:pt idx="2">
                  <c:v>1.9999020000000001</c:v>
                </c:pt>
                <c:pt idx="3">
                  <c:v>3.757978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B2-4041-80D9-DBB3063152EE}"/>
            </c:ext>
          </c:extLst>
        </c:ser>
        <c:ser>
          <c:idx val="1"/>
          <c:order val="1"/>
          <c:tx>
            <c:strRef>
              <c:f>main!$E$4</c:f>
              <c:strCache>
                <c:ptCount val="1"/>
                <c:pt idx="0">
                  <c:v>256</c:v>
                </c:pt>
              </c:strCache>
            </c:strRef>
          </c:tx>
          <c:spPr>
            <a:solidFill>
              <a:srgbClr val="3CA600"/>
            </a:solidFill>
            <a:ln>
              <a:noFill/>
            </a:ln>
            <a:effectLst/>
          </c:spPr>
          <c:invertIfNegative val="0"/>
          <c:cat>
            <c:numRef>
              <c:f>main!$C$50:$C$53</c:f>
              <c:numCache>
                <c:formatCode>General</c:formatCode>
                <c:ptCount val="4"/>
                <c:pt idx="0">
                  <c:v>64</c:v>
                </c:pt>
                <c:pt idx="1">
                  <c:v>256</c:v>
                </c:pt>
                <c:pt idx="2">
                  <c:v>1024</c:v>
                </c:pt>
                <c:pt idx="3">
                  <c:v>4096</c:v>
                </c:pt>
              </c:numCache>
            </c:numRef>
          </c:cat>
          <c:val>
            <c:numRef>
              <c:f>main!$E$50:$E$53</c:f>
              <c:numCache>
                <c:formatCode>0.00000</c:formatCode>
                <c:ptCount val="4"/>
                <c:pt idx="0">
                  <c:v>0.99126099999999995</c:v>
                </c:pt>
                <c:pt idx="1">
                  <c:v>0.61683200000000005</c:v>
                </c:pt>
                <c:pt idx="2">
                  <c:v>1.4255389999999999</c:v>
                </c:pt>
                <c:pt idx="3">
                  <c:v>1.8045610000000001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B2-4041-80D9-DBB3063152EE}"/>
            </c:ext>
          </c:extLst>
        </c:ser>
        <c:ser>
          <c:idx val="2"/>
          <c:order val="2"/>
          <c:tx>
            <c:strRef>
              <c:f>main!$F$4</c:f>
              <c:strCache>
                <c:ptCount val="1"/>
                <c:pt idx="0">
                  <c:v>1024</c:v>
                </c:pt>
              </c:strCache>
            </c:strRef>
          </c:tx>
          <c:spPr>
            <a:solidFill>
              <a:srgbClr val="FF9300"/>
            </a:solidFill>
            <a:ln>
              <a:noFill/>
            </a:ln>
            <a:effectLst/>
          </c:spPr>
          <c:invertIfNegative val="0"/>
          <c:cat>
            <c:numRef>
              <c:f>main!$C$50:$C$53</c:f>
              <c:numCache>
                <c:formatCode>General</c:formatCode>
                <c:ptCount val="4"/>
                <c:pt idx="0">
                  <c:v>64</c:v>
                </c:pt>
                <c:pt idx="1">
                  <c:v>256</c:v>
                </c:pt>
                <c:pt idx="2">
                  <c:v>1024</c:v>
                </c:pt>
                <c:pt idx="3">
                  <c:v>4096</c:v>
                </c:pt>
              </c:numCache>
            </c:numRef>
          </c:cat>
          <c:val>
            <c:numRef>
              <c:f>main!$F$50:$F$53</c:f>
              <c:numCache>
                <c:formatCode>0.00000</c:formatCode>
                <c:ptCount val="4"/>
                <c:pt idx="0">
                  <c:v>1.2704420000000001</c:v>
                </c:pt>
                <c:pt idx="1">
                  <c:v>0.51357200000000003</c:v>
                </c:pt>
                <c:pt idx="2">
                  <c:v>1.0041260000000001</c:v>
                </c:pt>
                <c:pt idx="3">
                  <c:v>1.4283539999999999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B2-4041-80D9-DBB3063152EE}"/>
            </c:ext>
          </c:extLst>
        </c:ser>
        <c:ser>
          <c:idx val="3"/>
          <c:order val="3"/>
          <c:tx>
            <c:strRef>
              <c:f>main!$G$4</c:f>
              <c:strCache>
                <c:ptCount val="1"/>
                <c:pt idx="0">
                  <c:v>4096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main!$C$50:$C$53</c:f>
              <c:numCache>
                <c:formatCode>General</c:formatCode>
                <c:ptCount val="4"/>
                <c:pt idx="0">
                  <c:v>64</c:v>
                </c:pt>
                <c:pt idx="1">
                  <c:v>256</c:v>
                </c:pt>
                <c:pt idx="2">
                  <c:v>1024</c:v>
                </c:pt>
                <c:pt idx="3">
                  <c:v>4096</c:v>
                </c:pt>
              </c:numCache>
            </c:numRef>
          </c:cat>
          <c:val>
            <c:numRef>
              <c:f>main!$G$50:$G$53</c:f>
              <c:numCache>
                <c:formatCode>0.00000</c:formatCode>
                <c:ptCount val="4"/>
                <c:pt idx="0">
                  <c:v>0.84756100000000001</c:v>
                </c:pt>
                <c:pt idx="1">
                  <c:v>0.765065</c:v>
                </c:pt>
                <c:pt idx="2">
                  <c:v>0.573291</c:v>
                </c:pt>
                <c:pt idx="3">
                  <c:v>1.1846719999999999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B2-4041-80D9-DBB306315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6327680"/>
        <c:axId val="1686329472"/>
      </c:barChart>
      <c:catAx>
        <c:axId val="1686327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inTokens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329472"/>
        <c:crosses val="autoZero"/>
        <c:auto val="1"/>
        <c:lblAlgn val="ctr"/>
        <c:lblOffset val="100"/>
        <c:noMultiLvlLbl val="0"/>
      </c:catAx>
      <c:valAx>
        <c:axId val="168632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32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gamma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main!$D$4</c:f>
              <c:strCache>
                <c:ptCount val="1"/>
                <c:pt idx="0">
                  <c:v>64</c:v>
                </c:pt>
              </c:strCache>
            </c:strRef>
          </c:tx>
          <c:spPr>
            <a:solidFill>
              <a:srgbClr val="0432FF"/>
            </a:solidFill>
            <a:ln>
              <a:noFill/>
            </a:ln>
            <a:effectLst/>
          </c:spPr>
          <c:invertIfNegative val="0"/>
          <c:cat>
            <c:numRef>
              <c:f>main!$C$35:$C$38</c:f>
              <c:numCache>
                <c:formatCode>General</c:formatCode>
                <c:ptCount val="4"/>
                <c:pt idx="0">
                  <c:v>64</c:v>
                </c:pt>
                <c:pt idx="1">
                  <c:v>256</c:v>
                </c:pt>
                <c:pt idx="2">
                  <c:v>1024</c:v>
                </c:pt>
                <c:pt idx="3">
                  <c:v>4096</c:v>
                </c:pt>
              </c:numCache>
            </c:numRef>
          </c:cat>
          <c:val>
            <c:numRef>
              <c:f>main!$D$35:$D$38</c:f>
              <c:numCache>
                <c:formatCode>0.000E+00</c:formatCode>
                <c:ptCount val="4"/>
                <c:pt idx="0">
                  <c:v>1.41453378E-4</c:v>
                </c:pt>
                <c:pt idx="1">
                  <c:v>1.2840221100000001E-4</c:v>
                </c:pt>
                <c:pt idx="2">
                  <c:v>1.05761534E-4</c:v>
                </c:pt>
                <c:pt idx="3">
                  <c:v>4.9999999999999997E-12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B-2044-8584-3CCC33A241F3}"/>
            </c:ext>
          </c:extLst>
        </c:ser>
        <c:ser>
          <c:idx val="1"/>
          <c:order val="1"/>
          <c:tx>
            <c:strRef>
              <c:f>main!$E$4</c:f>
              <c:strCache>
                <c:ptCount val="1"/>
                <c:pt idx="0">
                  <c:v>256</c:v>
                </c:pt>
              </c:strCache>
            </c:strRef>
          </c:tx>
          <c:spPr>
            <a:solidFill>
              <a:srgbClr val="3CA600"/>
            </a:solidFill>
            <a:ln>
              <a:noFill/>
            </a:ln>
            <a:effectLst/>
          </c:spPr>
          <c:invertIfNegative val="0"/>
          <c:cat>
            <c:numRef>
              <c:f>main!$C$35:$C$38</c:f>
              <c:numCache>
                <c:formatCode>General</c:formatCode>
                <c:ptCount val="4"/>
                <c:pt idx="0">
                  <c:v>64</c:v>
                </c:pt>
                <c:pt idx="1">
                  <c:v>256</c:v>
                </c:pt>
                <c:pt idx="2">
                  <c:v>1024</c:v>
                </c:pt>
                <c:pt idx="3">
                  <c:v>4096</c:v>
                </c:pt>
              </c:numCache>
            </c:numRef>
          </c:cat>
          <c:val>
            <c:numRef>
              <c:f>main!$E$35:$E$38</c:f>
              <c:numCache>
                <c:formatCode>0.000E+00</c:formatCode>
                <c:ptCount val="4"/>
                <c:pt idx="0">
                  <c:v>1.2762776E-5</c:v>
                </c:pt>
                <c:pt idx="1">
                  <c:v>3.8195760000000002E-5</c:v>
                </c:pt>
                <c:pt idx="2">
                  <c:v>4.9925439999999997E-5</c:v>
                </c:pt>
                <c:pt idx="3">
                  <c:v>4.0889510999999999E-5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9B-2044-8584-3CCC33A241F3}"/>
            </c:ext>
          </c:extLst>
        </c:ser>
        <c:ser>
          <c:idx val="2"/>
          <c:order val="2"/>
          <c:tx>
            <c:strRef>
              <c:f>main!$F$4</c:f>
              <c:strCache>
                <c:ptCount val="1"/>
                <c:pt idx="0">
                  <c:v>1024</c:v>
                </c:pt>
              </c:strCache>
            </c:strRef>
          </c:tx>
          <c:spPr>
            <a:solidFill>
              <a:srgbClr val="FF9300"/>
            </a:solidFill>
            <a:ln>
              <a:noFill/>
            </a:ln>
            <a:effectLst/>
          </c:spPr>
          <c:invertIfNegative val="0"/>
          <c:cat>
            <c:numRef>
              <c:f>main!$C$35:$C$38</c:f>
              <c:numCache>
                <c:formatCode>General</c:formatCode>
                <c:ptCount val="4"/>
                <c:pt idx="0">
                  <c:v>64</c:v>
                </c:pt>
                <c:pt idx="1">
                  <c:v>256</c:v>
                </c:pt>
                <c:pt idx="2">
                  <c:v>1024</c:v>
                </c:pt>
                <c:pt idx="3">
                  <c:v>4096</c:v>
                </c:pt>
              </c:numCache>
            </c:numRef>
          </c:cat>
          <c:val>
            <c:numRef>
              <c:f>main!$F$35:$F$38</c:f>
              <c:numCache>
                <c:formatCode>0.000E+00</c:formatCode>
                <c:ptCount val="4"/>
                <c:pt idx="0">
                  <c:v>1.3346809E-5</c:v>
                </c:pt>
                <c:pt idx="1">
                  <c:v>3.5739094000000002E-5</c:v>
                </c:pt>
                <c:pt idx="2">
                  <c:v>4.5017178E-5</c:v>
                </c:pt>
                <c:pt idx="3">
                  <c:v>4.6007139000000002E-5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9B-2044-8584-3CCC33A241F3}"/>
            </c:ext>
          </c:extLst>
        </c:ser>
        <c:ser>
          <c:idx val="3"/>
          <c:order val="3"/>
          <c:tx>
            <c:strRef>
              <c:f>main!$G$4</c:f>
              <c:strCache>
                <c:ptCount val="1"/>
                <c:pt idx="0">
                  <c:v>4096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main!$C$35:$C$38</c:f>
              <c:numCache>
                <c:formatCode>General</c:formatCode>
                <c:ptCount val="4"/>
                <c:pt idx="0">
                  <c:v>64</c:v>
                </c:pt>
                <c:pt idx="1">
                  <c:v>256</c:v>
                </c:pt>
                <c:pt idx="2">
                  <c:v>1024</c:v>
                </c:pt>
                <c:pt idx="3">
                  <c:v>4096</c:v>
                </c:pt>
              </c:numCache>
            </c:numRef>
          </c:cat>
          <c:val>
            <c:numRef>
              <c:f>main!$G$35:$G$38</c:f>
              <c:numCache>
                <c:formatCode>0.000E+00</c:formatCode>
                <c:ptCount val="4"/>
                <c:pt idx="0">
                  <c:v>3.9999999999999999E-12</c:v>
                </c:pt>
                <c:pt idx="1">
                  <c:v>4.6459862000000002E-5</c:v>
                </c:pt>
                <c:pt idx="2">
                  <c:v>5.6029385999999998E-5</c:v>
                </c:pt>
                <c:pt idx="3">
                  <c:v>5.2142187000000001E-5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9B-2044-8584-3CCC33A24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6327680"/>
        <c:axId val="1686329472"/>
      </c:barChart>
      <c:catAx>
        <c:axId val="1686327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inTokens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329472"/>
        <c:crossesAt val="1E-8"/>
        <c:auto val="1"/>
        <c:lblAlgn val="ctr"/>
        <c:lblOffset val="100"/>
        <c:noMultiLvlLbl val="0"/>
      </c:catAx>
      <c:valAx>
        <c:axId val="1686329472"/>
        <c:scaling>
          <c:logBase val="10"/>
          <c:orientation val="minMax"/>
          <c:max val="1E-3"/>
          <c:min val="1E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32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avgTTFTError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main!$D$4</c:f>
              <c:strCache>
                <c:ptCount val="1"/>
                <c:pt idx="0">
                  <c:v>64</c:v>
                </c:pt>
              </c:strCache>
            </c:strRef>
          </c:tx>
          <c:spPr>
            <a:solidFill>
              <a:srgbClr val="0432FF"/>
            </a:solidFill>
            <a:ln>
              <a:noFill/>
            </a:ln>
            <a:effectLst/>
          </c:spPr>
          <c:invertIfNegative val="0"/>
          <c:cat>
            <c:numRef>
              <c:f>main!$C$66:$C$69</c:f>
              <c:numCache>
                <c:formatCode>0</c:formatCode>
                <c:ptCount val="4"/>
                <c:pt idx="0">
                  <c:v>64</c:v>
                </c:pt>
                <c:pt idx="1">
                  <c:v>256</c:v>
                </c:pt>
                <c:pt idx="2">
                  <c:v>1024</c:v>
                </c:pt>
                <c:pt idx="3">
                  <c:v>4096</c:v>
                </c:pt>
              </c:numCache>
            </c:numRef>
          </c:cat>
          <c:val>
            <c:numRef>
              <c:f>main!$D$66:$D$69</c:f>
              <c:numCache>
                <c:formatCode>0.00000</c:formatCode>
                <c:ptCount val="4"/>
                <c:pt idx="0">
                  <c:v>1.237417</c:v>
                </c:pt>
                <c:pt idx="1">
                  <c:v>2.0248889999999999</c:v>
                </c:pt>
                <c:pt idx="2">
                  <c:v>5.3459060000000003</c:v>
                </c:pt>
                <c:pt idx="3">
                  <c:v>4.2836910000000001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1-3E45-80E5-4F75C01E5605}"/>
            </c:ext>
          </c:extLst>
        </c:ser>
        <c:ser>
          <c:idx val="1"/>
          <c:order val="1"/>
          <c:tx>
            <c:strRef>
              <c:f>main!$E$4</c:f>
              <c:strCache>
                <c:ptCount val="1"/>
                <c:pt idx="0">
                  <c:v>256</c:v>
                </c:pt>
              </c:strCache>
            </c:strRef>
          </c:tx>
          <c:spPr>
            <a:solidFill>
              <a:srgbClr val="3CA600"/>
            </a:solidFill>
            <a:ln>
              <a:noFill/>
            </a:ln>
            <a:effectLst/>
          </c:spPr>
          <c:invertIfNegative val="0"/>
          <c:cat>
            <c:numRef>
              <c:f>main!$C$66:$C$69</c:f>
              <c:numCache>
                <c:formatCode>0</c:formatCode>
                <c:ptCount val="4"/>
                <c:pt idx="0">
                  <c:v>64</c:v>
                </c:pt>
                <c:pt idx="1">
                  <c:v>256</c:v>
                </c:pt>
                <c:pt idx="2">
                  <c:v>1024</c:v>
                </c:pt>
                <c:pt idx="3">
                  <c:v>4096</c:v>
                </c:pt>
              </c:numCache>
            </c:numRef>
          </c:cat>
          <c:val>
            <c:numRef>
              <c:f>main!$E$66:$E$69</c:f>
              <c:numCache>
                <c:formatCode>0.00000</c:formatCode>
                <c:ptCount val="4"/>
                <c:pt idx="0">
                  <c:v>2.2351209999999999</c:v>
                </c:pt>
                <c:pt idx="1">
                  <c:v>0.82612799999999997</c:v>
                </c:pt>
                <c:pt idx="2">
                  <c:v>3.6533549999999999</c:v>
                </c:pt>
                <c:pt idx="3">
                  <c:v>4.8437539999999997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51-3E45-80E5-4F75C01E5605}"/>
            </c:ext>
          </c:extLst>
        </c:ser>
        <c:ser>
          <c:idx val="2"/>
          <c:order val="2"/>
          <c:tx>
            <c:strRef>
              <c:f>main!$F$4</c:f>
              <c:strCache>
                <c:ptCount val="1"/>
                <c:pt idx="0">
                  <c:v>1024</c:v>
                </c:pt>
              </c:strCache>
            </c:strRef>
          </c:tx>
          <c:spPr>
            <a:solidFill>
              <a:srgbClr val="FF9300"/>
            </a:solidFill>
            <a:ln>
              <a:noFill/>
            </a:ln>
            <a:effectLst/>
          </c:spPr>
          <c:invertIfNegative val="0"/>
          <c:cat>
            <c:numRef>
              <c:f>main!$C$66:$C$69</c:f>
              <c:numCache>
                <c:formatCode>0</c:formatCode>
                <c:ptCount val="4"/>
                <c:pt idx="0">
                  <c:v>64</c:v>
                </c:pt>
                <c:pt idx="1">
                  <c:v>256</c:v>
                </c:pt>
                <c:pt idx="2">
                  <c:v>1024</c:v>
                </c:pt>
                <c:pt idx="3">
                  <c:v>4096</c:v>
                </c:pt>
              </c:numCache>
            </c:numRef>
          </c:cat>
          <c:val>
            <c:numRef>
              <c:f>main!$F$66:$F$69</c:f>
              <c:numCache>
                <c:formatCode>0.00000</c:formatCode>
                <c:ptCount val="4"/>
                <c:pt idx="0">
                  <c:v>2.2265250000000001</c:v>
                </c:pt>
                <c:pt idx="1">
                  <c:v>0.71270100000000003</c:v>
                </c:pt>
                <c:pt idx="2">
                  <c:v>1.9910399999999999</c:v>
                </c:pt>
                <c:pt idx="3">
                  <c:v>3.5668069999999998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51-3E45-80E5-4F75C01E5605}"/>
            </c:ext>
          </c:extLst>
        </c:ser>
        <c:ser>
          <c:idx val="3"/>
          <c:order val="3"/>
          <c:tx>
            <c:strRef>
              <c:f>main!$G$4</c:f>
              <c:strCache>
                <c:ptCount val="1"/>
                <c:pt idx="0">
                  <c:v>4096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main!$C$66:$C$69</c:f>
              <c:numCache>
                <c:formatCode>0</c:formatCode>
                <c:ptCount val="4"/>
                <c:pt idx="0">
                  <c:v>64</c:v>
                </c:pt>
                <c:pt idx="1">
                  <c:v>256</c:v>
                </c:pt>
                <c:pt idx="2">
                  <c:v>1024</c:v>
                </c:pt>
                <c:pt idx="3">
                  <c:v>4096</c:v>
                </c:pt>
              </c:numCache>
            </c:numRef>
          </c:cat>
          <c:val>
            <c:numRef>
              <c:f>main!$G$66:$G$69</c:f>
              <c:numCache>
                <c:formatCode>0.00000</c:formatCode>
                <c:ptCount val="4"/>
                <c:pt idx="0">
                  <c:v>2.1009169999999999</c:v>
                </c:pt>
                <c:pt idx="1">
                  <c:v>1.628342</c:v>
                </c:pt>
                <c:pt idx="2">
                  <c:v>1.1657770000000001</c:v>
                </c:pt>
                <c:pt idx="3">
                  <c:v>3.460337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51-3E45-80E5-4F75C01E5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6327680"/>
        <c:axId val="1686329472"/>
      </c:barChart>
      <c:catAx>
        <c:axId val="1686327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inTokens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329472"/>
        <c:crosses val="autoZero"/>
        <c:auto val="1"/>
        <c:lblAlgn val="ctr"/>
        <c:lblOffset val="100"/>
        <c:noMultiLvlLbl val="0"/>
      </c:catAx>
      <c:valAx>
        <c:axId val="168632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32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avgITLError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main!$D$4</c:f>
              <c:strCache>
                <c:ptCount val="1"/>
                <c:pt idx="0">
                  <c:v>64</c:v>
                </c:pt>
              </c:strCache>
            </c:strRef>
          </c:tx>
          <c:spPr>
            <a:solidFill>
              <a:srgbClr val="0432FF"/>
            </a:solidFill>
            <a:ln>
              <a:noFill/>
            </a:ln>
            <a:effectLst/>
          </c:spPr>
          <c:invertIfNegative val="0"/>
          <c:cat>
            <c:numRef>
              <c:f>main!$C$80:$C$83</c:f>
              <c:numCache>
                <c:formatCode>General</c:formatCode>
                <c:ptCount val="4"/>
                <c:pt idx="0">
                  <c:v>64</c:v>
                </c:pt>
                <c:pt idx="1">
                  <c:v>256</c:v>
                </c:pt>
                <c:pt idx="2">
                  <c:v>1024</c:v>
                </c:pt>
                <c:pt idx="3">
                  <c:v>4096</c:v>
                </c:pt>
              </c:numCache>
            </c:numRef>
          </c:cat>
          <c:val>
            <c:numRef>
              <c:f>main!$D$80:$D$83</c:f>
              <c:numCache>
                <c:formatCode>0.00000</c:formatCode>
                <c:ptCount val="4"/>
                <c:pt idx="0">
                  <c:v>0.77764699999999998</c:v>
                </c:pt>
                <c:pt idx="1">
                  <c:v>0.87626999999999999</c:v>
                </c:pt>
                <c:pt idx="2">
                  <c:v>0.32690000000000002</c:v>
                </c:pt>
                <c:pt idx="3">
                  <c:v>3.4951219999999998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5B-9948-AE30-79F94E978CDD}"/>
            </c:ext>
          </c:extLst>
        </c:ser>
        <c:ser>
          <c:idx val="1"/>
          <c:order val="1"/>
          <c:tx>
            <c:strRef>
              <c:f>main!$E$4</c:f>
              <c:strCache>
                <c:ptCount val="1"/>
                <c:pt idx="0">
                  <c:v>256</c:v>
                </c:pt>
              </c:strCache>
            </c:strRef>
          </c:tx>
          <c:spPr>
            <a:solidFill>
              <a:srgbClr val="3CA600"/>
            </a:solidFill>
            <a:ln>
              <a:noFill/>
            </a:ln>
            <a:effectLst/>
          </c:spPr>
          <c:invertIfNegative val="0"/>
          <c:cat>
            <c:numRef>
              <c:f>main!$C$80:$C$83</c:f>
              <c:numCache>
                <c:formatCode>General</c:formatCode>
                <c:ptCount val="4"/>
                <c:pt idx="0">
                  <c:v>64</c:v>
                </c:pt>
                <c:pt idx="1">
                  <c:v>256</c:v>
                </c:pt>
                <c:pt idx="2">
                  <c:v>1024</c:v>
                </c:pt>
                <c:pt idx="3">
                  <c:v>4096</c:v>
                </c:pt>
              </c:numCache>
            </c:numRef>
          </c:cat>
          <c:val>
            <c:numRef>
              <c:f>main!$E$80:$E$83</c:f>
              <c:numCache>
                <c:formatCode>0.00000</c:formatCode>
                <c:ptCount val="4"/>
                <c:pt idx="0">
                  <c:v>0.36933100000000002</c:v>
                </c:pt>
                <c:pt idx="1">
                  <c:v>0.51218399999999997</c:v>
                </c:pt>
                <c:pt idx="2">
                  <c:v>0.31163000000000002</c:v>
                </c:pt>
                <c:pt idx="3">
                  <c:v>0.28496500000000002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5B-9948-AE30-79F94E978CDD}"/>
            </c:ext>
          </c:extLst>
        </c:ser>
        <c:ser>
          <c:idx val="2"/>
          <c:order val="2"/>
          <c:tx>
            <c:strRef>
              <c:f>main!$F$4</c:f>
              <c:strCache>
                <c:ptCount val="1"/>
                <c:pt idx="0">
                  <c:v>1024</c:v>
                </c:pt>
              </c:strCache>
            </c:strRef>
          </c:tx>
          <c:spPr>
            <a:solidFill>
              <a:srgbClr val="FF9300"/>
            </a:solidFill>
            <a:ln>
              <a:noFill/>
            </a:ln>
            <a:effectLst/>
          </c:spPr>
          <c:invertIfNegative val="0"/>
          <c:cat>
            <c:numRef>
              <c:f>main!$C$80:$C$83</c:f>
              <c:numCache>
                <c:formatCode>General</c:formatCode>
                <c:ptCount val="4"/>
                <c:pt idx="0">
                  <c:v>64</c:v>
                </c:pt>
                <c:pt idx="1">
                  <c:v>256</c:v>
                </c:pt>
                <c:pt idx="2">
                  <c:v>1024</c:v>
                </c:pt>
                <c:pt idx="3">
                  <c:v>4096</c:v>
                </c:pt>
              </c:numCache>
            </c:numRef>
          </c:cat>
          <c:val>
            <c:numRef>
              <c:f>main!$F$80:$F$83</c:f>
              <c:numCache>
                <c:formatCode>0.00000</c:formatCode>
                <c:ptCount val="4"/>
                <c:pt idx="0">
                  <c:v>0.79239999999999999</c:v>
                </c:pt>
                <c:pt idx="1">
                  <c:v>0.41400799999999999</c:v>
                </c:pt>
                <c:pt idx="2">
                  <c:v>0.51066900000000004</c:v>
                </c:pt>
                <c:pt idx="3">
                  <c:v>0.35912699999999997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5B-9948-AE30-79F94E978CDD}"/>
            </c:ext>
          </c:extLst>
        </c:ser>
        <c:ser>
          <c:idx val="3"/>
          <c:order val="3"/>
          <c:tx>
            <c:strRef>
              <c:f>main!$G$4</c:f>
              <c:strCache>
                <c:ptCount val="1"/>
                <c:pt idx="0">
                  <c:v>4096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main!$C$80:$C$83</c:f>
              <c:numCache>
                <c:formatCode>General</c:formatCode>
                <c:ptCount val="4"/>
                <c:pt idx="0">
                  <c:v>64</c:v>
                </c:pt>
                <c:pt idx="1">
                  <c:v>256</c:v>
                </c:pt>
                <c:pt idx="2">
                  <c:v>1024</c:v>
                </c:pt>
                <c:pt idx="3">
                  <c:v>4096</c:v>
                </c:pt>
              </c:numCache>
            </c:numRef>
          </c:cat>
          <c:val>
            <c:numRef>
              <c:f>main!$G$80:$G$83</c:f>
              <c:numCache>
                <c:formatCode>0.00000</c:formatCode>
                <c:ptCount val="4"/>
                <c:pt idx="0">
                  <c:v>0.220883</c:v>
                </c:pt>
                <c:pt idx="1">
                  <c:v>0.333426</c:v>
                </c:pt>
                <c:pt idx="2">
                  <c:v>0.27704699999999999</c:v>
                </c:pt>
                <c:pt idx="3">
                  <c:v>4.6838999999999999E-2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5B-9948-AE30-79F94E978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6327680"/>
        <c:axId val="1686329472"/>
      </c:barChart>
      <c:catAx>
        <c:axId val="1686327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inTokens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329472"/>
        <c:crosses val="autoZero"/>
        <c:auto val="1"/>
        <c:lblAlgn val="ctr"/>
        <c:lblOffset val="100"/>
        <c:noMultiLvlLbl val="0"/>
      </c:catAx>
      <c:valAx>
        <c:axId val="168632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32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819150</xdr:colOff>
      <xdr:row>1</xdr:row>
      <xdr:rowOff>0</xdr:rowOff>
    </xdr:from>
    <xdr:to>
      <xdr:col>14</xdr:col>
      <xdr:colOff>0</xdr:colOff>
      <xdr:row>15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FCC4FB-45B5-F8BE-6194-F5881F2E3A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12700</xdr:colOff>
      <xdr:row>16</xdr:row>
      <xdr:rowOff>0</xdr:rowOff>
    </xdr:from>
    <xdr:to>
      <xdr:col>14</xdr:col>
      <xdr:colOff>0</xdr:colOff>
      <xdr:row>30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7CECCD-1904-1248-9968-5B621A6DB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46</xdr:row>
      <xdr:rowOff>0</xdr:rowOff>
    </xdr:from>
    <xdr:to>
      <xdr:col>14</xdr:col>
      <xdr:colOff>6350</xdr:colOff>
      <xdr:row>60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D398A0B-CA5E-C146-960F-BD65A5E746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31</xdr:row>
      <xdr:rowOff>0</xdr:rowOff>
    </xdr:from>
    <xdr:to>
      <xdr:col>13</xdr:col>
      <xdr:colOff>812800</xdr:colOff>
      <xdr:row>45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7DC48A-2FDB-9942-9368-2F10E53516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14</xdr:col>
      <xdr:colOff>6350</xdr:colOff>
      <xdr:row>75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CBF3EE-8C95-A646-86CC-8D38D8C7D7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76</xdr:row>
      <xdr:rowOff>0</xdr:rowOff>
    </xdr:from>
    <xdr:to>
      <xdr:col>14</xdr:col>
      <xdr:colOff>6350</xdr:colOff>
      <xdr:row>90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2E4D5B8-1597-FF4D-A066-E0C8212ED0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0B0E5-90AA-9F43-BC6E-57ECF99D967B}">
  <dimension ref="B2:R83"/>
  <sheetViews>
    <sheetView tabSelected="1" topLeftCell="A53" zoomScaleNormal="100" workbookViewId="0">
      <selection activeCell="R79" sqref="R79"/>
    </sheetView>
  </sheetViews>
  <sheetFormatPr baseColWidth="10" defaultRowHeight="16" x14ac:dyDescent="0.2"/>
  <cols>
    <col min="2" max="2" width="8.83203125" style="3" customWidth="1"/>
    <col min="3" max="3" width="8.83203125" style="4" customWidth="1"/>
    <col min="4" max="7" width="10.83203125" customWidth="1"/>
  </cols>
  <sheetData>
    <row r="2" spans="2:7" ht="19" x14ac:dyDescent="0.25">
      <c r="B2" s="5" t="s">
        <v>4</v>
      </c>
    </row>
    <row r="3" spans="2:7" s="4" customFormat="1" x14ac:dyDescent="0.2">
      <c r="B3" s="3"/>
      <c r="E3" s="3" t="s">
        <v>3</v>
      </c>
    </row>
    <row r="4" spans="2:7" s="4" customFormat="1" x14ac:dyDescent="0.2">
      <c r="B4" s="3"/>
      <c r="C4" s="2"/>
      <c r="D4" s="2">
        <v>64</v>
      </c>
      <c r="E4" s="2">
        <v>256</v>
      </c>
      <c r="F4" s="2">
        <v>1024</v>
      </c>
      <c r="G4" s="2">
        <v>4096</v>
      </c>
    </row>
    <row r="5" spans="2:7" x14ac:dyDescent="0.2">
      <c r="C5" s="2">
        <v>64</v>
      </c>
      <c r="D5" s="1" cm="1">
        <f t="array" ref="D5">_xlfn.XLOOKUP($C5&amp;D$4,inTokens&amp;outTokens,alpha)</f>
        <v>6.0279259999999999</v>
      </c>
      <c r="E5" s="1" cm="1">
        <f t="array" ref="E5">_xlfn.XLOOKUP($C5&amp;E$4,inTokens&amp;outTokens,alpha)</f>
        <v>6.0166979999999999</v>
      </c>
      <c r="F5" s="1" cm="1">
        <f t="array" ref="F5">_xlfn.XLOOKUP($C5&amp;F$4,inTokens&amp;outTokens,alpha)</f>
        <v>6.0000239999999998</v>
      </c>
      <c r="G5" s="1" cm="1">
        <f t="array" ref="G5">_xlfn.XLOOKUP($C5&amp;G$4,inTokens&amp;outTokens,alpha)</f>
        <v>6.0987790000000004</v>
      </c>
    </row>
    <row r="6" spans="2:7" x14ac:dyDescent="0.2">
      <c r="B6" s="3" t="s">
        <v>2</v>
      </c>
      <c r="C6" s="2">
        <v>256</v>
      </c>
      <c r="D6" s="1" cm="1">
        <f t="array" ref="D6">_xlfn.XLOOKUP($C6&amp;D$4,inTokens&amp;outTokens,alpha)</f>
        <v>6.0294220000000003</v>
      </c>
      <c r="E6" s="1" cm="1">
        <f t="array" ref="E6">_xlfn.XLOOKUP($C6&amp;E$4,inTokens&amp;outTokens,alpha)</f>
        <v>6.0149780000000002</v>
      </c>
      <c r="F6" s="1" cm="1">
        <f t="array" ref="F6">_xlfn.XLOOKUP($C6&amp;F$4,inTokens&amp;outTokens,alpha)</f>
        <v>6.0166680000000001</v>
      </c>
      <c r="G6" s="1" cm="1">
        <f t="array" ref="G6">_xlfn.XLOOKUP($C6&amp;G$4,inTokens&amp;outTokens,alpha)</f>
        <v>6.0000540000000004</v>
      </c>
    </row>
    <row r="7" spans="2:7" x14ac:dyDescent="0.2">
      <c r="C7" s="2">
        <v>1024</v>
      </c>
      <c r="D7" s="1" cm="1">
        <f t="array" ref="D7">_xlfn.XLOOKUP($C7&amp;D$4,inTokens&amp;outTokens,alpha)</f>
        <v>6.0254690000000002</v>
      </c>
      <c r="E7" s="1" cm="1">
        <f t="array" ref="E7">_xlfn.XLOOKUP($C7&amp;E$4,inTokens&amp;outTokens,alpha)</f>
        <v>6.0269019999999998</v>
      </c>
      <c r="F7" s="1" cm="1">
        <f t="array" ref="F7">_xlfn.XLOOKUP($C7&amp;F$4,inTokens&amp;outTokens,alpha)</f>
        <v>6.0167380000000001</v>
      </c>
      <c r="G7" s="1" cm="1">
        <f t="array" ref="G7">_xlfn.XLOOKUP($C7&amp;G$4,inTokens&amp;outTokens,alpha)</f>
        <v>6.0088249999999999</v>
      </c>
    </row>
    <row r="8" spans="2:7" x14ac:dyDescent="0.2">
      <c r="C8" s="2">
        <v>4096</v>
      </c>
      <c r="D8" s="1" cm="1">
        <f t="array" ref="D8">_xlfn.XLOOKUP($C8&amp;D$4,inTokens&amp;outTokens,alpha)</f>
        <v>6.0279179999999997</v>
      </c>
      <c r="E8" s="1" cm="1">
        <f t="array" ref="E8">_xlfn.XLOOKUP($C8&amp;E$4,inTokens&amp;outTokens,alpha)</f>
        <v>6.0260990000000003</v>
      </c>
      <c r="F8" s="1" cm="1">
        <f t="array" ref="F8">_xlfn.XLOOKUP($C8&amp;F$4,inTokens&amp;outTokens,alpha)</f>
        <v>6.0239339999999997</v>
      </c>
      <c r="G8" s="1" cm="1">
        <f t="array" ref="G8">_xlfn.XLOOKUP($C8&amp;G$4,inTokens&amp;outTokens,alpha)</f>
        <v>6.0236980000000004</v>
      </c>
    </row>
    <row r="17" spans="2:7" ht="19" x14ac:dyDescent="0.25">
      <c r="B17" s="6" t="s">
        <v>0</v>
      </c>
    </row>
    <row r="18" spans="2:7" x14ac:dyDescent="0.2">
      <c r="E18" s="3" t="str">
        <f>E3</f>
        <v>outTokens</v>
      </c>
    </row>
    <row r="19" spans="2:7" x14ac:dyDescent="0.2">
      <c r="C19" s="2"/>
      <c r="D19" s="2">
        <f>D4</f>
        <v>64</v>
      </c>
      <c r="E19" s="2">
        <f>E4</f>
        <v>256</v>
      </c>
      <c r="F19" s="2">
        <f>F4</f>
        <v>1024</v>
      </c>
      <c r="G19" s="2">
        <f>G4</f>
        <v>4096</v>
      </c>
    </row>
    <row r="20" spans="2:7" x14ac:dyDescent="0.2">
      <c r="C20" s="2">
        <f>C5</f>
        <v>64</v>
      </c>
      <c r="D20" s="1" cm="1">
        <f t="array" ref="D20">_xlfn.XLOOKUP($C20&amp;D$19,inTokens&amp;outTokens,beta)</f>
        <v>2.2009101E-2</v>
      </c>
      <c r="E20" s="1" cm="1">
        <f t="array" ref="E20">_xlfn.XLOOKUP($C20&amp;E$19,inTokens&amp;outTokens,beta)</f>
        <v>3.3311078000000001E-2</v>
      </c>
      <c r="F20" s="1" cm="1">
        <f t="array" ref="F20">_xlfn.XLOOKUP($C20&amp;F$19,inTokens&amp;outTokens,beta)</f>
        <v>4.9968895999999999E-2</v>
      </c>
      <c r="G20" s="1" cm="1">
        <f t="array" ref="G20">_xlfn.XLOOKUP($C20&amp;G$19,inTokens&amp;outTokens,beta)</f>
        <v>0.14695438</v>
      </c>
    </row>
    <row r="21" spans="2:7" x14ac:dyDescent="0.2">
      <c r="B21" s="3" t="str">
        <f>B6</f>
        <v>inTokens</v>
      </c>
      <c r="C21" s="2">
        <f>C6</f>
        <v>256</v>
      </c>
      <c r="D21" s="1" cm="1">
        <f t="array" ref="D21">_xlfn.XLOOKUP($C21&amp;D$19,inTokens&amp;outTokens,beta)</f>
        <v>1.5459432E-2</v>
      </c>
      <c r="E21" s="1" cm="1">
        <f t="array" ref="E21">_xlfn.XLOOKUP($C21&amp;E$19,inTokens&amp;outTokens,beta)</f>
        <v>2.5434095E-2</v>
      </c>
      <c r="F21" s="1" cm="1">
        <f t="array" ref="F21">_xlfn.XLOOKUP($C21&amp;F$19,inTokens&amp;outTokens,beta)</f>
        <v>3.3372935999999999E-2</v>
      </c>
      <c r="G21" s="1" cm="1">
        <f t="array" ref="G21">_xlfn.XLOOKUP($C21&amp;G$19,inTokens&amp;outTokens,beta)</f>
        <v>4.9957213E-2</v>
      </c>
    </row>
    <row r="22" spans="2:7" x14ac:dyDescent="0.2">
      <c r="C22" s="2">
        <f>C7</f>
        <v>1024</v>
      </c>
      <c r="D22" s="1" cm="1">
        <f t="array" ref="D22">_xlfn.XLOOKUP($C22&amp;D$19,inTokens&amp;outTokens,beta)</f>
        <v>1.5826951999999998E-2</v>
      </c>
      <c r="E22" s="1" cm="1">
        <f t="array" ref="E22">_xlfn.XLOOKUP($C22&amp;E$19,inTokens&amp;outTokens,beta)</f>
        <v>1.9984866E-2</v>
      </c>
      <c r="F22" s="1" cm="1">
        <f t="array" ref="F22">_xlfn.XLOOKUP($C22&amp;F$19,inTokens&amp;outTokens,beta)</f>
        <v>2.5064985000000001E-2</v>
      </c>
      <c r="G22" s="1" cm="1">
        <f t="array" ref="G22">_xlfn.XLOOKUP($C22&amp;G$19,inTokens&amp;outTokens,beta)</f>
        <v>2.9330378000000001E-2</v>
      </c>
    </row>
    <row r="23" spans="2:7" x14ac:dyDescent="0.2">
      <c r="C23" s="2">
        <f>C8</f>
        <v>4096</v>
      </c>
      <c r="D23" s="1" cm="1">
        <f t="array" ref="D23">_xlfn.XLOOKUP($C23&amp;D$19,inTokens&amp;outTokens,beta)</f>
        <v>2.1128778000000001E-2</v>
      </c>
      <c r="E23" s="1" cm="1">
        <f t="array" ref="E23">_xlfn.XLOOKUP($C23&amp;E$19,inTokens&amp;outTokens,beta)</f>
        <v>2.3400079000000001E-2</v>
      </c>
      <c r="F23" s="1" cm="1">
        <f t="array" ref="F23">_xlfn.XLOOKUP($C23&amp;F$19,inTokens&amp;outTokens,beta)</f>
        <v>2.5388566000000001E-2</v>
      </c>
      <c r="G23" s="1" cm="1">
        <f t="array" ref="G23">_xlfn.XLOOKUP($C23&amp;G$19,inTokens&amp;outTokens,beta)</f>
        <v>2.5792131999999999E-2</v>
      </c>
    </row>
    <row r="32" spans="2:7" ht="19" x14ac:dyDescent="0.25">
      <c r="B32" s="7" t="s">
        <v>1</v>
      </c>
    </row>
    <row r="33" spans="2:18" x14ac:dyDescent="0.2">
      <c r="E33" s="3" t="str">
        <f>E18</f>
        <v>outTokens</v>
      </c>
    </row>
    <row r="34" spans="2:18" x14ac:dyDescent="0.2">
      <c r="C34" s="2"/>
      <c r="D34" s="2">
        <f>D19</f>
        <v>64</v>
      </c>
      <c r="E34" s="2">
        <f>E19</f>
        <v>256</v>
      </c>
      <c r="F34" s="2">
        <f>F19</f>
        <v>1024</v>
      </c>
      <c r="G34" s="2">
        <f>G19</f>
        <v>4096</v>
      </c>
    </row>
    <row r="35" spans="2:18" x14ac:dyDescent="0.2">
      <c r="C35" s="2">
        <f>C20</f>
        <v>64</v>
      </c>
      <c r="D35" s="8" cm="1">
        <f t="array" ref="D35">_xlfn.XLOOKUP($C35&amp;D$34,inTokens&amp;outTokens,gamma)</f>
        <v>1.41453378E-4</v>
      </c>
      <c r="E35" s="8" cm="1">
        <f t="array" ref="E35">_xlfn.XLOOKUP($C35&amp;E$34,inTokens&amp;outTokens,gamma)</f>
        <v>1.2762776E-5</v>
      </c>
      <c r="F35" s="8" cm="1">
        <f t="array" ref="F35">_xlfn.XLOOKUP($C35&amp;F$34,inTokens&amp;outTokens,gamma)</f>
        <v>1.3346809E-5</v>
      </c>
      <c r="G35" s="8" cm="1">
        <f t="array" ref="G35">_xlfn.XLOOKUP($C35&amp;G$34,inTokens&amp;outTokens,gamma)</f>
        <v>3.9999999999999999E-12</v>
      </c>
    </row>
    <row r="36" spans="2:18" x14ac:dyDescent="0.2">
      <c r="B36" s="3" t="str">
        <f>B21</f>
        <v>inTokens</v>
      </c>
      <c r="C36" s="2">
        <f>C21</f>
        <v>256</v>
      </c>
      <c r="D36" s="8" cm="1">
        <f t="array" ref="D36">_xlfn.XLOOKUP($C36&amp;D$34,inTokens&amp;outTokens,gamma)</f>
        <v>1.2840221100000001E-4</v>
      </c>
      <c r="E36" s="8" cm="1">
        <f t="array" ref="E36">_xlfn.XLOOKUP($C36&amp;E$34,inTokens&amp;outTokens,gamma)</f>
        <v>3.8195760000000002E-5</v>
      </c>
      <c r="F36" s="8" cm="1">
        <f t="array" ref="F36">_xlfn.XLOOKUP($C36&amp;F$34,inTokens&amp;outTokens,gamma)</f>
        <v>3.5739094000000002E-5</v>
      </c>
      <c r="G36" s="8" cm="1">
        <f t="array" ref="G36">_xlfn.XLOOKUP($C36&amp;G$34,inTokens&amp;outTokens,gamma)</f>
        <v>4.6459862000000002E-5</v>
      </c>
    </row>
    <row r="37" spans="2:18" x14ac:dyDescent="0.2">
      <c r="C37" s="2">
        <f>C22</f>
        <v>1024</v>
      </c>
      <c r="D37" s="8" cm="1">
        <f t="array" ref="D37">_xlfn.XLOOKUP($C37&amp;D$34,inTokens&amp;outTokens,gamma)</f>
        <v>1.05761534E-4</v>
      </c>
      <c r="E37" s="8" cm="1">
        <f t="array" ref="E37">_xlfn.XLOOKUP($C37&amp;E$34,inTokens&amp;outTokens,gamma)</f>
        <v>4.9925439999999997E-5</v>
      </c>
      <c r="F37" s="8" cm="1">
        <f t="array" ref="F37">_xlfn.XLOOKUP($C37&amp;F$34,inTokens&amp;outTokens,gamma)</f>
        <v>4.5017178E-5</v>
      </c>
      <c r="G37" s="8" cm="1">
        <f t="array" ref="G37">_xlfn.XLOOKUP($C37&amp;G$34,inTokens&amp;outTokens,gamma)</f>
        <v>5.6029385999999998E-5</v>
      </c>
    </row>
    <row r="38" spans="2:18" x14ac:dyDescent="0.2">
      <c r="C38" s="2">
        <f>C23</f>
        <v>4096</v>
      </c>
      <c r="D38" s="8" cm="1">
        <f t="array" ref="D38">_xlfn.XLOOKUP($C38&amp;D$34,inTokens&amp;outTokens,gamma)</f>
        <v>4.9999999999999997E-12</v>
      </c>
      <c r="E38" s="8" cm="1">
        <f t="array" ref="E38">_xlfn.XLOOKUP($C38&amp;E$34,inTokens&amp;outTokens,gamma)</f>
        <v>4.0889510999999999E-5</v>
      </c>
      <c r="F38" s="8" cm="1">
        <f t="array" ref="F38">_xlfn.XLOOKUP($C38&amp;F$34,inTokens&amp;outTokens,gamma)</f>
        <v>4.6007139000000002E-5</v>
      </c>
      <c r="G38" s="8" cm="1">
        <f t="array" ref="G38">_xlfn.XLOOKUP($C38&amp;G$34,inTokens&amp;outTokens,gamma)</f>
        <v>5.2142187000000001E-5</v>
      </c>
    </row>
    <row r="43" spans="2:18" x14ac:dyDescent="0.2">
      <c r="R43" t="s">
        <v>26</v>
      </c>
    </row>
    <row r="47" spans="2:18" ht="19" x14ac:dyDescent="0.25">
      <c r="B47" s="16" t="s">
        <v>27</v>
      </c>
      <c r="C47" s="17"/>
    </row>
    <row r="48" spans="2:18" x14ac:dyDescent="0.2">
      <c r="E48" s="3" t="str">
        <f>E3</f>
        <v>outTokens</v>
      </c>
    </row>
    <row r="49" spans="2:7" x14ac:dyDescent="0.2">
      <c r="C49" s="2"/>
      <c r="D49" s="2">
        <f>D4</f>
        <v>64</v>
      </c>
      <c r="E49" s="2">
        <f>E4</f>
        <v>256</v>
      </c>
      <c r="F49" s="2">
        <f>F4</f>
        <v>1024</v>
      </c>
      <c r="G49" s="2">
        <f>G4</f>
        <v>4096</v>
      </c>
    </row>
    <row r="50" spans="2:7" x14ac:dyDescent="0.2">
      <c r="C50" s="2">
        <f>C5</f>
        <v>64</v>
      </c>
      <c r="D50" s="14" cm="1">
        <f t="array" ref="D50">_xlfn.XLOOKUP($C50&amp;D$49,inTokens&amp;outTokens,avgError)</f>
        <v>0.93090399999999995</v>
      </c>
      <c r="E50" s="14" cm="1">
        <f t="array" ref="E50">_xlfn.XLOOKUP($C50&amp;E$49,inTokens&amp;outTokens,avgError)</f>
        <v>0.99126099999999995</v>
      </c>
      <c r="F50" s="14" cm="1">
        <f t="array" ref="F50">_xlfn.XLOOKUP($C50&amp;F$49,inTokens&amp;outTokens,avgError)</f>
        <v>1.2704420000000001</v>
      </c>
      <c r="G50" s="14" cm="1">
        <f t="array" ref="G50">_xlfn.XLOOKUP($C50&amp;G$49,inTokens&amp;outTokens,avgError)</f>
        <v>0.84756100000000001</v>
      </c>
    </row>
    <row r="51" spans="2:7" x14ac:dyDescent="0.2">
      <c r="B51" s="3" t="str">
        <f>B6</f>
        <v>inTokens</v>
      </c>
      <c r="C51" s="2">
        <f>C6</f>
        <v>256</v>
      </c>
      <c r="D51" s="14" cm="1">
        <f t="array" ref="D51">_xlfn.XLOOKUP($C51&amp;D$49,inTokens&amp;outTokens,avgError)</f>
        <v>1.2591429999999999</v>
      </c>
      <c r="E51" s="14" cm="1">
        <f t="array" ref="E51">_xlfn.XLOOKUP($C51&amp;E$49,inTokens&amp;outTokens,avgError)</f>
        <v>0.61683200000000005</v>
      </c>
      <c r="F51" s="14" cm="1">
        <f t="array" ref="F51">_xlfn.XLOOKUP($C51&amp;F$49,inTokens&amp;outTokens,avgError)</f>
        <v>0.51357200000000003</v>
      </c>
      <c r="G51" s="14" cm="1">
        <f t="array" ref="G51">_xlfn.XLOOKUP($C51&amp;G$49,inTokens&amp;outTokens,avgError)</f>
        <v>0.765065</v>
      </c>
    </row>
    <row r="52" spans="2:7" x14ac:dyDescent="0.2">
      <c r="B52" s="4"/>
      <c r="C52" s="2">
        <f>C7</f>
        <v>1024</v>
      </c>
      <c r="D52" s="14" cm="1">
        <f t="array" ref="D52">_xlfn.XLOOKUP($C52&amp;D$49,inTokens&amp;outTokens,avgError)</f>
        <v>1.9999020000000001</v>
      </c>
      <c r="E52" s="14" cm="1">
        <f t="array" ref="E52">_xlfn.XLOOKUP($C52&amp;E$49,inTokens&amp;outTokens,avgError)</f>
        <v>1.4255389999999999</v>
      </c>
      <c r="F52" s="14" cm="1">
        <f t="array" ref="F52">_xlfn.XLOOKUP($C52&amp;F$49,inTokens&amp;outTokens,avgError)</f>
        <v>1.0041260000000001</v>
      </c>
      <c r="G52" s="14" cm="1">
        <f t="array" ref="G52">_xlfn.XLOOKUP($C52&amp;G$49,inTokens&amp;outTokens,avgError)</f>
        <v>0.573291</v>
      </c>
    </row>
    <row r="53" spans="2:7" x14ac:dyDescent="0.2">
      <c r="C53" s="2">
        <f>C8</f>
        <v>4096</v>
      </c>
      <c r="D53" s="14" cm="1">
        <f t="array" ref="D53">_xlfn.XLOOKUP($C53&amp;D$49,inTokens&amp;outTokens,avgError)</f>
        <v>3.757978</v>
      </c>
      <c r="E53" s="14" cm="1">
        <f t="array" ref="E53">_xlfn.XLOOKUP($C53&amp;E$49,inTokens&amp;outTokens,avgError)</f>
        <v>1.8045610000000001</v>
      </c>
      <c r="F53" s="14" cm="1">
        <f t="array" ref="F53">_xlfn.XLOOKUP($C53&amp;F$49,inTokens&amp;outTokens,avgError)</f>
        <v>1.4283539999999999</v>
      </c>
      <c r="G53" s="14" cm="1">
        <f t="array" ref="G53">_xlfn.XLOOKUP($C53&amp;G$49,inTokens&amp;outTokens,avgError)</f>
        <v>1.1846719999999999</v>
      </c>
    </row>
    <row r="61" spans="2:7" ht="19" x14ac:dyDescent="0.25">
      <c r="B61" s="15"/>
    </row>
    <row r="62" spans="2:7" ht="19" x14ac:dyDescent="0.25">
      <c r="B62" s="18" t="s">
        <v>28</v>
      </c>
      <c r="C62" s="19"/>
      <c r="E62" s="9"/>
    </row>
    <row r="64" spans="2:7" x14ac:dyDescent="0.2">
      <c r="D64" s="21"/>
      <c r="E64" s="21" t="str">
        <f>E3</f>
        <v>outTokens</v>
      </c>
      <c r="F64" s="21"/>
      <c r="G64" s="21"/>
    </row>
    <row r="65" spans="2:7" x14ac:dyDescent="0.2">
      <c r="C65" s="22"/>
      <c r="D65" s="22">
        <f t="shared" ref="C65:D65" si="0">D4</f>
        <v>64</v>
      </c>
      <c r="E65" s="22">
        <f>E4</f>
        <v>256</v>
      </c>
      <c r="F65" s="22">
        <f t="shared" ref="F65:G65" si="1">F4</f>
        <v>1024</v>
      </c>
      <c r="G65" s="22">
        <f t="shared" si="1"/>
        <v>4096</v>
      </c>
    </row>
    <row r="66" spans="2:7" x14ac:dyDescent="0.2">
      <c r="C66" s="22">
        <f t="shared" ref="C66:C70" si="2">C5</f>
        <v>64</v>
      </c>
      <c r="D66" s="12" cm="1">
        <f t="array" ref="D66">_xlfn.XLOOKUP($C50&amp;D$49,inTokens&amp;outTokens,avgTTFTError)</f>
        <v>1.237417</v>
      </c>
      <c r="E66" s="12" cm="1">
        <f t="array" ref="E66">_xlfn.XLOOKUP($C50&amp;E$49,inTokens&amp;outTokens,avgTTFTError)</f>
        <v>2.2351209999999999</v>
      </c>
      <c r="F66" s="12" cm="1">
        <f t="array" ref="F66">_xlfn.XLOOKUP($C50&amp;F$49,inTokens&amp;outTokens,avgTTFTError)</f>
        <v>2.2265250000000001</v>
      </c>
      <c r="G66" s="12" cm="1">
        <f t="array" ref="G66">_xlfn.XLOOKUP($C50&amp;G$49,inTokens&amp;outTokens,avgTTFTError)</f>
        <v>2.1009169999999999</v>
      </c>
    </row>
    <row r="67" spans="2:7" x14ac:dyDescent="0.2">
      <c r="B67" s="3" t="str">
        <f>B6</f>
        <v>inTokens</v>
      </c>
      <c r="C67" s="22">
        <f t="shared" si="2"/>
        <v>256</v>
      </c>
      <c r="D67" s="12" cm="1">
        <f t="array" ref="D67">_xlfn.XLOOKUP($C51&amp;D$49,inTokens&amp;outTokens,avgTTFTError)</f>
        <v>2.0248889999999999</v>
      </c>
      <c r="E67" s="12" cm="1">
        <f t="array" ref="E67">_xlfn.XLOOKUP($C51&amp;E$49,inTokens&amp;outTokens,avgTTFTError)</f>
        <v>0.82612799999999997</v>
      </c>
      <c r="F67" s="12" cm="1">
        <f t="array" ref="F67">_xlfn.XLOOKUP($C51&amp;F$49,inTokens&amp;outTokens,avgTTFTError)</f>
        <v>0.71270100000000003</v>
      </c>
      <c r="G67" s="12" cm="1">
        <f t="array" ref="G67">_xlfn.XLOOKUP($C51&amp;G$49,inTokens&amp;outTokens,avgTTFTError)</f>
        <v>1.628342</v>
      </c>
    </row>
    <row r="68" spans="2:7" x14ac:dyDescent="0.2">
      <c r="C68" s="22">
        <f t="shared" si="2"/>
        <v>1024</v>
      </c>
      <c r="D68" s="12" cm="1">
        <f t="array" ref="D68">_xlfn.XLOOKUP($C52&amp;D$49,inTokens&amp;outTokens,avgTTFTError)</f>
        <v>5.3459060000000003</v>
      </c>
      <c r="E68" s="12" cm="1">
        <f t="array" ref="E68">_xlfn.XLOOKUP($C52&amp;E$49,inTokens&amp;outTokens,avgTTFTError)</f>
        <v>3.6533549999999999</v>
      </c>
      <c r="F68" s="12" cm="1">
        <f t="array" ref="F68">_xlfn.XLOOKUP($C52&amp;F$49,inTokens&amp;outTokens,avgTTFTError)</f>
        <v>1.9910399999999999</v>
      </c>
      <c r="G68" s="12" cm="1">
        <f t="array" ref="G68">_xlfn.XLOOKUP($C52&amp;G$49,inTokens&amp;outTokens,avgTTFTError)</f>
        <v>1.1657770000000001</v>
      </c>
    </row>
    <row r="69" spans="2:7" x14ac:dyDescent="0.2">
      <c r="C69" s="22">
        <f t="shared" si="2"/>
        <v>4096</v>
      </c>
      <c r="D69" s="12" cm="1">
        <f t="array" ref="D69">_xlfn.XLOOKUP($C53&amp;D$49,inTokens&amp;outTokens,avgTTFTError)</f>
        <v>4.2836910000000001</v>
      </c>
      <c r="E69" s="12" cm="1">
        <f t="array" ref="E69">_xlfn.XLOOKUP($C53&amp;E$49,inTokens&amp;outTokens,avgTTFTError)</f>
        <v>4.8437539999999997</v>
      </c>
      <c r="F69" s="12" cm="1">
        <f t="array" ref="F69">_xlfn.XLOOKUP($C53&amp;F$49,inTokens&amp;outTokens,avgTTFTError)</f>
        <v>3.5668069999999998</v>
      </c>
      <c r="G69" s="12" cm="1">
        <f t="array" ref="G69">_xlfn.XLOOKUP($C53&amp;G$49,inTokens&amp;outTokens,avgTTFTError)</f>
        <v>3.460337</v>
      </c>
    </row>
    <row r="70" spans="2:7" x14ac:dyDescent="0.2">
      <c r="C70" s="20"/>
    </row>
    <row r="77" spans="2:7" ht="19" x14ac:dyDescent="0.25">
      <c r="B77" s="23" t="s">
        <v>29</v>
      </c>
      <c r="C77" s="24"/>
    </row>
    <row r="78" spans="2:7" x14ac:dyDescent="0.2">
      <c r="E78" s="4" t="str">
        <f>E3</f>
        <v>outTokens</v>
      </c>
    </row>
    <row r="79" spans="2:7" x14ac:dyDescent="0.2">
      <c r="C79" s="2"/>
      <c r="D79" s="2">
        <f>D4</f>
        <v>64</v>
      </c>
      <c r="E79" s="2">
        <f t="shared" ref="E79:G79" si="3">E4</f>
        <v>256</v>
      </c>
      <c r="F79" s="2">
        <f t="shared" si="3"/>
        <v>1024</v>
      </c>
      <c r="G79" s="2">
        <f t="shared" si="3"/>
        <v>4096</v>
      </c>
    </row>
    <row r="80" spans="2:7" x14ac:dyDescent="0.2">
      <c r="C80" s="2">
        <f>C5</f>
        <v>64</v>
      </c>
      <c r="D80" s="12" cm="1">
        <f t="array" ref="D80">_xlfn.XLOOKUP($C50&amp;D$49,inTokens&amp;outTokens,avgITLError)</f>
        <v>0.77764699999999998</v>
      </c>
      <c r="E80" s="12" cm="1">
        <f t="array" ref="E80">_xlfn.XLOOKUP($C50&amp;E$49,inTokens&amp;outTokens,avgITLError)</f>
        <v>0.36933100000000002</v>
      </c>
      <c r="F80" s="12" cm="1">
        <f t="array" ref="F80">_xlfn.XLOOKUP($C50&amp;F$49,inTokens&amp;outTokens,avgITLError)</f>
        <v>0.79239999999999999</v>
      </c>
      <c r="G80" s="12" cm="1">
        <f t="array" ref="G80">_xlfn.XLOOKUP($C50&amp;G$49,inTokens&amp;outTokens,avgITLError)</f>
        <v>0.220883</v>
      </c>
    </row>
    <row r="81" spans="2:7" x14ac:dyDescent="0.2">
      <c r="C81" s="2">
        <f t="shared" ref="C81:C83" si="4">C6</f>
        <v>256</v>
      </c>
      <c r="D81" s="12" cm="1">
        <f t="array" ref="D81">_xlfn.XLOOKUP($C51&amp;D$49,inTokens&amp;outTokens,avgITLError)</f>
        <v>0.87626999999999999</v>
      </c>
      <c r="E81" s="12" cm="1">
        <f t="array" ref="E81">_xlfn.XLOOKUP($C51&amp;E$49,inTokens&amp;outTokens,avgITLError)</f>
        <v>0.51218399999999997</v>
      </c>
      <c r="F81" s="12" cm="1">
        <f t="array" ref="F81">_xlfn.XLOOKUP($C51&amp;F$49,inTokens&amp;outTokens,avgITLError)</f>
        <v>0.41400799999999999</v>
      </c>
      <c r="G81" s="12" cm="1">
        <f t="array" ref="G81">_xlfn.XLOOKUP($C51&amp;G$49,inTokens&amp;outTokens,avgITLError)</f>
        <v>0.333426</v>
      </c>
    </row>
    <row r="82" spans="2:7" x14ac:dyDescent="0.2">
      <c r="B82" s="3" t="str">
        <f>B6</f>
        <v>inTokens</v>
      </c>
      <c r="C82" s="2">
        <f t="shared" si="4"/>
        <v>1024</v>
      </c>
      <c r="D82" s="12" cm="1">
        <f t="array" ref="D82">_xlfn.XLOOKUP($C52&amp;D$49,inTokens&amp;outTokens,avgITLError)</f>
        <v>0.32690000000000002</v>
      </c>
      <c r="E82" s="12" cm="1">
        <f t="array" ref="E82">_xlfn.XLOOKUP($C52&amp;E$49,inTokens&amp;outTokens,avgITLError)</f>
        <v>0.31163000000000002</v>
      </c>
      <c r="F82" s="12" cm="1">
        <f t="array" ref="F82">_xlfn.XLOOKUP($C52&amp;F$49,inTokens&amp;outTokens,avgITLError)</f>
        <v>0.51066900000000004</v>
      </c>
      <c r="G82" s="12" cm="1">
        <f t="array" ref="G82">_xlfn.XLOOKUP($C52&amp;G$49,inTokens&amp;outTokens,avgITLError)</f>
        <v>0.27704699999999999</v>
      </c>
    </row>
    <row r="83" spans="2:7" x14ac:dyDescent="0.2">
      <c r="C83" s="2">
        <f t="shared" si="4"/>
        <v>4096</v>
      </c>
      <c r="D83" s="12" cm="1">
        <f t="array" ref="D83">_xlfn.XLOOKUP($C53&amp;D$49,inTokens&amp;outTokens,avgITLError)</f>
        <v>3.4951219999999998</v>
      </c>
      <c r="E83" s="12" cm="1">
        <f t="array" ref="E83">_xlfn.XLOOKUP($C53&amp;E$49,inTokens&amp;outTokens,avgITLError)</f>
        <v>0.28496500000000002</v>
      </c>
      <c r="F83" s="12" cm="1">
        <f t="array" ref="F83">_xlfn.XLOOKUP($C53&amp;F$49,inTokens&amp;outTokens,avgITLError)</f>
        <v>0.35912699999999997</v>
      </c>
      <c r="G83" s="12" cm="1">
        <f t="array" ref="G83">_xlfn.XLOOKUP($C53&amp;G$49,inTokens&amp;outTokens,avgITLError)</f>
        <v>4.6838999999999999E-2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4A3F8-3F15-DF4F-8BB0-7D018056B43B}">
  <dimension ref="A1:N16"/>
  <sheetViews>
    <sheetView workbookViewId="0">
      <selection activeCell="I22" sqref="I22"/>
    </sheetView>
  </sheetViews>
  <sheetFormatPr baseColWidth="10" defaultRowHeight="16" x14ac:dyDescent="0.2"/>
  <cols>
    <col min="1" max="1" width="19.5" style="4" customWidth="1"/>
  </cols>
  <sheetData>
    <row r="1" spans="1:14" x14ac:dyDescent="0.2">
      <c r="A1" s="4" t="s">
        <v>5</v>
      </c>
      <c r="B1" t="s">
        <v>6</v>
      </c>
      <c r="C1" t="s">
        <v>4</v>
      </c>
      <c r="D1">
        <v>6.0167380000000001</v>
      </c>
      <c r="E1" t="s">
        <v>0</v>
      </c>
      <c r="F1">
        <v>2.5064985000000001E-2</v>
      </c>
      <c r="G1" t="s">
        <v>1</v>
      </c>
      <c r="H1">
        <v>4.5017178E-5</v>
      </c>
      <c r="I1" t="s">
        <v>22</v>
      </c>
      <c r="J1">
        <v>1.9910399999999999</v>
      </c>
      <c r="K1" t="s">
        <v>23</v>
      </c>
      <c r="L1">
        <v>0.51066900000000004</v>
      </c>
      <c r="M1" t="s">
        <v>24</v>
      </c>
      <c r="N1">
        <v>1.0041260000000001</v>
      </c>
    </row>
    <row r="2" spans="1:14" x14ac:dyDescent="0.2">
      <c r="A2" s="4" t="s">
        <v>7</v>
      </c>
      <c r="B2" t="s">
        <v>6</v>
      </c>
      <c r="C2" t="s">
        <v>4</v>
      </c>
      <c r="D2">
        <v>6.0269019999999998</v>
      </c>
      <c r="E2" t="s">
        <v>0</v>
      </c>
      <c r="F2">
        <v>1.9984866E-2</v>
      </c>
      <c r="G2" t="s">
        <v>1</v>
      </c>
      <c r="H2">
        <v>4.9925439999999997E-5</v>
      </c>
      <c r="I2" t="s">
        <v>22</v>
      </c>
      <c r="J2">
        <v>3.6533549999999999</v>
      </c>
      <c r="K2" t="s">
        <v>23</v>
      </c>
      <c r="L2">
        <v>0.31163000000000002</v>
      </c>
      <c r="M2" t="s">
        <v>24</v>
      </c>
      <c r="N2">
        <v>1.4255389999999999</v>
      </c>
    </row>
    <row r="3" spans="1:14" x14ac:dyDescent="0.2">
      <c r="A3" s="4" t="s">
        <v>8</v>
      </c>
      <c r="B3" t="s">
        <v>6</v>
      </c>
      <c r="C3" t="s">
        <v>4</v>
      </c>
      <c r="D3">
        <v>6.0088249999999999</v>
      </c>
      <c r="E3" t="s">
        <v>0</v>
      </c>
      <c r="F3">
        <v>2.9330378000000001E-2</v>
      </c>
      <c r="G3" t="s">
        <v>1</v>
      </c>
      <c r="H3">
        <v>5.6029385999999998E-5</v>
      </c>
      <c r="I3" t="s">
        <v>22</v>
      </c>
      <c r="J3">
        <v>1.1657770000000001</v>
      </c>
      <c r="K3" t="s">
        <v>23</v>
      </c>
      <c r="L3">
        <v>0.27704699999999999</v>
      </c>
      <c r="M3" t="s">
        <v>24</v>
      </c>
      <c r="N3">
        <v>0.573291</v>
      </c>
    </row>
    <row r="4" spans="1:14" x14ac:dyDescent="0.2">
      <c r="A4" s="4" t="s">
        <v>9</v>
      </c>
      <c r="B4" t="s">
        <v>6</v>
      </c>
      <c r="C4" t="s">
        <v>4</v>
      </c>
      <c r="D4">
        <v>6.0254690000000002</v>
      </c>
      <c r="E4" t="s">
        <v>0</v>
      </c>
      <c r="F4">
        <v>1.5826951999999998E-2</v>
      </c>
      <c r="G4" t="s">
        <v>1</v>
      </c>
      <c r="H4">
        <v>1.05761534E-4</v>
      </c>
      <c r="I4" t="s">
        <v>22</v>
      </c>
      <c r="J4">
        <v>5.3459060000000003</v>
      </c>
      <c r="K4" t="s">
        <v>23</v>
      </c>
      <c r="L4">
        <v>0.32690000000000002</v>
      </c>
      <c r="M4" t="s">
        <v>24</v>
      </c>
      <c r="N4">
        <v>1.9999020000000001</v>
      </c>
    </row>
    <row r="5" spans="1:14" x14ac:dyDescent="0.2">
      <c r="A5" s="4" t="s">
        <v>10</v>
      </c>
      <c r="B5" t="s">
        <v>6</v>
      </c>
      <c r="C5" t="s">
        <v>4</v>
      </c>
      <c r="D5">
        <v>6.0166680000000001</v>
      </c>
      <c r="E5" t="s">
        <v>0</v>
      </c>
      <c r="F5">
        <v>3.3372935999999999E-2</v>
      </c>
      <c r="G5" t="s">
        <v>1</v>
      </c>
      <c r="H5">
        <v>3.5739094000000002E-5</v>
      </c>
      <c r="I5" t="s">
        <v>22</v>
      </c>
      <c r="J5">
        <v>0.71270100000000003</v>
      </c>
      <c r="K5" t="s">
        <v>23</v>
      </c>
      <c r="L5">
        <v>0.41400799999999999</v>
      </c>
      <c r="M5" t="s">
        <v>24</v>
      </c>
      <c r="N5">
        <v>0.51357200000000003</v>
      </c>
    </row>
    <row r="6" spans="1:14" x14ac:dyDescent="0.2">
      <c r="A6" s="4" t="s">
        <v>11</v>
      </c>
      <c r="B6" t="s">
        <v>6</v>
      </c>
      <c r="C6" t="s">
        <v>4</v>
      </c>
      <c r="D6">
        <v>6.0149780000000002</v>
      </c>
      <c r="E6" t="s">
        <v>0</v>
      </c>
      <c r="F6">
        <v>2.5434095E-2</v>
      </c>
      <c r="G6" t="s">
        <v>1</v>
      </c>
      <c r="H6">
        <v>3.8195760000000002E-5</v>
      </c>
      <c r="I6" t="s">
        <v>22</v>
      </c>
      <c r="J6">
        <v>0.82612799999999997</v>
      </c>
      <c r="K6" t="s">
        <v>23</v>
      </c>
      <c r="L6">
        <v>0.51218399999999997</v>
      </c>
      <c r="M6" t="s">
        <v>24</v>
      </c>
      <c r="N6">
        <v>0.61683200000000005</v>
      </c>
    </row>
    <row r="7" spans="1:14" x14ac:dyDescent="0.2">
      <c r="A7" s="4" t="s">
        <v>12</v>
      </c>
      <c r="B7" t="s">
        <v>6</v>
      </c>
      <c r="C7" t="s">
        <v>4</v>
      </c>
      <c r="D7">
        <v>6.0000540000000004</v>
      </c>
      <c r="E7" t="s">
        <v>0</v>
      </c>
      <c r="F7">
        <v>4.9957213E-2</v>
      </c>
      <c r="G7" t="s">
        <v>1</v>
      </c>
      <c r="H7">
        <v>4.6459862000000002E-5</v>
      </c>
      <c r="I7" t="s">
        <v>22</v>
      </c>
      <c r="J7">
        <v>1.628342</v>
      </c>
      <c r="K7" t="s">
        <v>23</v>
      </c>
      <c r="L7">
        <v>0.333426</v>
      </c>
      <c r="M7" t="s">
        <v>24</v>
      </c>
      <c r="N7">
        <v>0.765065</v>
      </c>
    </row>
    <row r="8" spans="1:14" x14ac:dyDescent="0.2">
      <c r="A8" s="4" t="s">
        <v>13</v>
      </c>
      <c r="B8" t="s">
        <v>6</v>
      </c>
      <c r="C8" t="s">
        <v>4</v>
      </c>
      <c r="D8">
        <v>6.0294220000000003</v>
      </c>
      <c r="E8" t="s">
        <v>0</v>
      </c>
      <c r="F8">
        <v>1.5459432E-2</v>
      </c>
      <c r="G8" t="s">
        <v>1</v>
      </c>
      <c r="H8">
        <v>1.2840221100000001E-4</v>
      </c>
      <c r="I8" t="s">
        <v>22</v>
      </c>
      <c r="J8">
        <v>2.0248889999999999</v>
      </c>
      <c r="K8" t="s">
        <v>23</v>
      </c>
      <c r="L8">
        <v>0.87626999999999999</v>
      </c>
      <c r="M8" t="s">
        <v>24</v>
      </c>
      <c r="N8">
        <v>1.2591429999999999</v>
      </c>
    </row>
    <row r="9" spans="1:14" x14ac:dyDescent="0.2">
      <c r="A9" s="4" t="s">
        <v>14</v>
      </c>
      <c r="B9" t="s">
        <v>6</v>
      </c>
      <c r="C9" t="s">
        <v>4</v>
      </c>
      <c r="D9">
        <v>6.0239339999999997</v>
      </c>
      <c r="E9" t="s">
        <v>0</v>
      </c>
      <c r="F9">
        <v>2.5388566000000001E-2</v>
      </c>
      <c r="G9" t="s">
        <v>1</v>
      </c>
      <c r="H9">
        <v>4.6007139000000002E-5</v>
      </c>
      <c r="I9" t="s">
        <v>22</v>
      </c>
      <c r="J9">
        <v>3.5668069999999998</v>
      </c>
      <c r="K9" t="s">
        <v>23</v>
      </c>
      <c r="L9">
        <v>0.35912699999999997</v>
      </c>
      <c r="M9" t="s">
        <v>24</v>
      </c>
      <c r="N9">
        <v>1.4283539999999999</v>
      </c>
    </row>
    <row r="10" spans="1:14" x14ac:dyDescent="0.2">
      <c r="A10" s="4" t="s">
        <v>15</v>
      </c>
      <c r="B10" t="s">
        <v>6</v>
      </c>
      <c r="C10" t="s">
        <v>4</v>
      </c>
      <c r="D10">
        <v>6.0260990000000003</v>
      </c>
      <c r="E10" t="s">
        <v>0</v>
      </c>
      <c r="F10">
        <v>2.3400079000000001E-2</v>
      </c>
      <c r="G10" t="s">
        <v>1</v>
      </c>
      <c r="H10">
        <v>4.0889510999999999E-5</v>
      </c>
      <c r="I10" t="s">
        <v>22</v>
      </c>
      <c r="J10">
        <v>4.8437539999999997</v>
      </c>
      <c r="K10" t="s">
        <v>23</v>
      </c>
      <c r="L10">
        <v>0.28496500000000002</v>
      </c>
      <c r="M10" t="s">
        <v>24</v>
      </c>
      <c r="N10">
        <v>1.8045610000000001</v>
      </c>
    </row>
    <row r="11" spans="1:14" x14ac:dyDescent="0.2">
      <c r="A11" s="4" t="s">
        <v>16</v>
      </c>
      <c r="B11" t="s">
        <v>6</v>
      </c>
      <c r="C11" t="s">
        <v>4</v>
      </c>
      <c r="D11">
        <v>6.0236980000000004</v>
      </c>
      <c r="E11" t="s">
        <v>0</v>
      </c>
      <c r="F11">
        <v>2.5792131999999999E-2</v>
      </c>
      <c r="G11" t="s">
        <v>1</v>
      </c>
      <c r="H11">
        <v>5.2142187000000001E-5</v>
      </c>
      <c r="I11" t="s">
        <v>22</v>
      </c>
      <c r="J11">
        <v>3.460337</v>
      </c>
      <c r="K11" t="s">
        <v>23</v>
      </c>
      <c r="L11">
        <v>4.6838999999999999E-2</v>
      </c>
      <c r="M11" t="s">
        <v>24</v>
      </c>
      <c r="N11">
        <v>1.1846719999999999</v>
      </c>
    </row>
    <row r="12" spans="1:14" x14ac:dyDescent="0.2">
      <c r="A12" s="4" t="s">
        <v>17</v>
      </c>
      <c r="B12" t="s">
        <v>6</v>
      </c>
      <c r="C12" t="s">
        <v>4</v>
      </c>
      <c r="D12">
        <v>6.0279179999999997</v>
      </c>
      <c r="E12" t="s">
        <v>0</v>
      </c>
      <c r="F12">
        <v>2.1128778000000001E-2</v>
      </c>
      <c r="G12" t="s">
        <v>1</v>
      </c>
      <c r="H12">
        <v>4.9999999999999997E-12</v>
      </c>
      <c r="I12" t="s">
        <v>22</v>
      </c>
      <c r="J12">
        <v>4.2836910000000001</v>
      </c>
      <c r="K12" t="s">
        <v>23</v>
      </c>
      <c r="L12">
        <v>3.4951219999999998</v>
      </c>
      <c r="M12" t="s">
        <v>24</v>
      </c>
      <c r="N12">
        <v>3.757978</v>
      </c>
    </row>
    <row r="13" spans="1:14" x14ac:dyDescent="0.2">
      <c r="A13" s="4" t="s">
        <v>18</v>
      </c>
      <c r="B13" t="s">
        <v>6</v>
      </c>
      <c r="C13" t="s">
        <v>4</v>
      </c>
      <c r="D13">
        <v>6.0000239999999998</v>
      </c>
      <c r="E13" t="s">
        <v>0</v>
      </c>
      <c r="F13">
        <v>4.9968895999999999E-2</v>
      </c>
      <c r="G13" t="s">
        <v>1</v>
      </c>
      <c r="H13">
        <v>1.3346809E-5</v>
      </c>
      <c r="I13" t="s">
        <v>22</v>
      </c>
      <c r="J13">
        <v>2.2265250000000001</v>
      </c>
      <c r="K13" t="s">
        <v>23</v>
      </c>
      <c r="L13">
        <v>0.79239999999999999</v>
      </c>
      <c r="M13" t="s">
        <v>24</v>
      </c>
      <c r="N13">
        <v>1.2704420000000001</v>
      </c>
    </row>
    <row r="14" spans="1:14" x14ac:dyDescent="0.2">
      <c r="A14" s="4" t="s">
        <v>19</v>
      </c>
      <c r="B14" t="s">
        <v>6</v>
      </c>
      <c r="C14" t="s">
        <v>4</v>
      </c>
      <c r="D14">
        <v>6.0166979999999999</v>
      </c>
      <c r="E14" t="s">
        <v>0</v>
      </c>
      <c r="F14">
        <v>3.3311078000000001E-2</v>
      </c>
      <c r="G14" t="s">
        <v>1</v>
      </c>
      <c r="H14">
        <v>1.2762776E-5</v>
      </c>
      <c r="I14" t="s">
        <v>22</v>
      </c>
      <c r="J14">
        <v>2.2351209999999999</v>
      </c>
      <c r="K14" t="s">
        <v>23</v>
      </c>
      <c r="L14">
        <v>0.36933100000000002</v>
      </c>
      <c r="M14" t="s">
        <v>24</v>
      </c>
      <c r="N14">
        <v>0.99126099999999995</v>
      </c>
    </row>
    <row r="15" spans="1:14" x14ac:dyDescent="0.2">
      <c r="A15" s="4" t="s">
        <v>20</v>
      </c>
      <c r="B15" t="s">
        <v>6</v>
      </c>
      <c r="C15" t="s">
        <v>4</v>
      </c>
      <c r="D15">
        <v>6.0987790000000004</v>
      </c>
      <c r="E15" t="s">
        <v>0</v>
      </c>
      <c r="F15">
        <v>0.14695438</v>
      </c>
      <c r="G15" t="s">
        <v>1</v>
      </c>
      <c r="H15">
        <v>3.9999999999999999E-12</v>
      </c>
      <c r="I15" t="s">
        <v>22</v>
      </c>
      <c r="J15">
        <v>2.1009169999999999</v>
      </c>
      <c r="K15" t="s">
        <v>23</v>
      </c>
      <c r="L15">
        <v>0.220883</v>
      </c>
      <c r="M15" t="s">
        <v>24</v>
      </c>
      <c r="N15">
        <v>0.84756100000000001</v>
      </c>
    </row>
    <row r="16" spans="1:14" x14ac:dyDescent="0.2">
      <c r="A16" s="4" t="s">
        <v>21</v>
      </c>
      <c r="B16" t="s">
        <v>6</v>
      </c>
      <c r="C16" t="s">
        <v>4</v>
      </c>
      <c r="D16">
        <v>6.0279259999999999</v>
      </c>
      <c r="E16" t="s">
        <v>0</v>
      </c>
      <c r="F16">
        <v>2.2009101E-2</v>
      </c>
      <c r="G16" t="s">
        <v>1</v>
      </c>
      <c r="H16">
        <v>1.41453378E-4</v>
      </c>
      <c r="I16" t="s">
        <v>22</v>
      </c>
      <c r="J16">
        <v>1.237417</v>
      </c>
      <c r="K16" t="s">
        <v>23</v>
      </c>
      <c r="L16">
        <v>0.77764699999999998</v>
      </c>
      <c r="M16" t="s">
        <v>24</v>
      </c>
      <c r="N16">
        <v>0.93090399999999995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17EE-0BCA-9A44-8AE8-31F5AD8BD6D6}">
  <dimension ref="B3:O29"/>
  <sheetViews>
    <sheetView workbookViewId="0">
      <selection activeCell="H25" sqref="H25"/>
    </sheetView>
  </sheetViews>
  <sheetFormatPr baseColWidth="10" defaultRowHeight="16" x14ac:dyDescent="0.2"/>
  <cols>
    <col min="2" max="3" width="10.83203125" style="9"/>
    <col min="6" max="6" width="12.1640625" bestFit="1" customWidth="1"/>
    <col min="7" max="8" width="12.1640625" customWidth="1"/>
  </cols>
  <sheetData>
    <row r="3" spans="2:9" s="3" customFormat="1" x14ac:dyDescent="0.2">
      <c r="B3" s="3" t="s">
        <v>2</v>
      </c>
      <c r="C3" s="3" t="s">
        <v>3</v>
      </c>
      <c r="D3" s="3" t="s">
        <v>4</v>
      </c>
      <c r="E3" s="3" t="s">
        <v>0</v>
      </c>
      <c r="F3" s="3" t="s">
        <v>1</v>
      </c>
      <c r="G3" s="3" t="s">
        <v>28</v>
      </c>
      <c r="H3" s="3" t="s">
        <v>29</v>
      </c>
      <c r="I3" s="3" t="s">
        <v>25</v>
      </c>
    </row>
    <row r="4" spans="2:9" x14ac:dyDescent="0.2">
      <c r="B4" s="10" t="str">
        <f>_xlfn.TEXTBEFORE(_xlfn.TEXTAFTER(out!A1,"-i"),"-o")</f>
        <v>1024</v>
      </c>
      <c r="C4" s="10" t="str">
        <f>_xlfn.TEXTAFTER(out!A1,"-o")</f>
        <v>1024</v>
      </c>
      <c r="D4" s="11">
        <f>out!D1</f>
        <v>6.0167380000000001</v>
      </c>
      <c r="E4" s="12">
        <f>out!F1</f>
        <v>2.5064985000000001E-2</v>
      </c>
      <c r="F4" s="13">
        <f>out!H1</f>
        <v>4.5017178E-5</v>
      </c>
      <c r="G4" s="12">
        <f>out!J1</f>
        <v>1.9910399999999999</v>
      </c>
      <c r="H4" s="12">
        <f>out!L1</f>
        <v>0.51066900000000004</v>
      </c>
      <c r="I4" s="12">
        <f>out!N1</f>
        <v>1.0041260000000001</v>
      </c>
    </row>
    <row r="5" spans="2:9" x14ac:dyDescent="0.2">
      <c r="B5" s="10" t="str">
        <f>_xlfn.TEXTBEFORE(_xlfn.TEXTAFTER(out!A2,"-i"),"-o")</f>
        <v>1024</v>
      </c>
      <c r="C5" s="10" t="str">
        <f>_xlfn.TEXTAFTER(out!A2,"-o")</f>
        <v>256</v>
      </c>
      <c r="D5" s="11">
        <f>out!D2</f>
        <v>6.0269019999999998</v>
      </c>
      <c r="E5" s="12">
        <f>out!F2</f>
        <v>1.9984866E-2</v>
      </c>
      <c r="F5" s="13">
        <f>out!H2</f>
        <v>4.9925439999999997E-5</v>
      </c>
      <c r="G5" s="12">
        <f>out!J2</f>
        <v>3.6533549999999999</v>
      </c>
      <c r="H5" s="12">
        <f>out!L2</f>
        <v>0.31163000000000002</v>
      </c>
      <c r="I5" s="12">
        <f>out!N2</f>
        <v>1.4255389999999999</v>
      </c>
    </row>
    <row r="6" spans="2:9" x14ac:dyDescent="0.2">
      <c r="B6" s="10" t="str">
        <f>_xlfn.TEXTBEFORE(_xlfn.TEXTAFTER(out!A3,"-i"),"-o")</f>
        <v>1024</v>
      </c>
      <c r="C6" s="10" t="str">
        <f>_xlfn.TEXTAFTER(out!A3,"-o")</f>
        <v>4096</v>
      </c>
      <c r="D6" s="11">
        <f>out!D3</f>
        <v>6.0088249999999999</v>
      </c>
      <c r="E6" s="12">
        <f>out!F3</f>
        <v>2.9330378000000001E-2</v>
      </c>
      <c r="F6" s="13">
        <f>out!H3</f>
        <v>5.6029385999999998E-5</v>
      </c>
      <c r="G6" s="12">
        <f>out!J3</f>
        <v>1.1657770000000001</v>
      </c>
      <c r="H6" s="12">
        <f>out!L3</f>
        <v>0.27704699999999999</v>
      </c>
      <c r="I6" s="12">
        <f>out!N3</f>
        <v>0.573291</v>
      </c>
    </row>
    <row r="7" spans="2:9" x14ac:dyDescent="0.2">
      <c r="B7" s="10" t="str">
        <f>_xlfn.TEXTBEFORE(_xlfn.TEXTAFTER(out!A4,"-i"),"-o")</f>
        <v>1024</v>
      </c>
      <c r="C7" s="10" t="str">
        <f>_xlfn.TEXTAFTER(out!A4,"-o")</f>
        <v>64</v>
      </c>
      <c r="D7" s="11">
        <f>out!D4</f>
        <v>6.0254690000000002</v>
      </c>
      <c r="E7" s="12">
        <f>out!F4</f>
        <v>1.5826951999999998E-2</v>
      </c>
      <c r="F7" s="13">
        <f>out!H4</f>
        <v>1.05761534E-4</v>
      </c>
      <c r="G7" s="12">
        <f>out!J4</f>
        <v>5.3459060000000003</v>
      </c>
      <c r="H7" s="12">
        <f>out!L4</f>
        <v>0.32690000000000002</v>
      </c>
      <c r="I7" s="12">
        <f>out!N4</f>
        <v>1.9999020000000001</v>
      </c>
    </row>
    <row r="8" spans="2:9" x14ac:dyDescent="0.2">
      <c r="B8" s="10" t="str">
        <f>_xlfn.TEXTBEFORE(_xlfn.TEXTAFTER(out!A5,"-i"),"-o")</f>
        <v>256</v>
      </c>
      <c r="C8" s="10" t="str">
        <f>_xlfn.TEXTAFTER(out!A5,"-o")</f>
        <v>1024</v>
      </c>
      <c r="D8" s="11">
        <f>out!D5</f>
        <v>6.0166680000000001</v>
      </c>
      <c r="E8" s="12">
        <f>out!F5</f>
        <v>3.3372935999999999E-2</v>
      </c>
      <c r="F8" s="13">
        <f>out!H5</f>
        <v>3.5739094000000002E-5</v>
      </c>
      <c r="G8" s="12">
        <f>out!J5</f>
        <v>0.71270100000000003</v>
      </c>
      <c r="H8" s="12">
        <f>out!L5</f>
        <v>0.41400799999999999</v>
      </c>
      <c r="I8" s="12">
        <f>out!N5</f>
        <v>0.51357200000000003</v>
      </c>
    </row>
    <row r="9" spans="2:9" x14ac:dyDescent="0.2">
      <c r="B9" s="10" t="str">
        <f>_xlfn.TEXTBEFORE(_xlfn.TEXTAFTER(out!A6,"-i"),"-o")</f>
        <v>256</v>
      </c>
      <c r="C9" s="10" t="str">
        <f>_xlfn.TEXTAFTER(out!A6,"-o")</f>
        <v>256</v>
      </c>
      <c r="D9" s="11">
        <f>out!D6</f>
        <v>6.0149780000000002</v>
      </c>
      <c r="E9" s="12">
        <f>out!F6</f>
        <v>2.5434095E-2</v>
      </c>
      <c r="F9" s="13">
        <f>out!H6</f>
        <v>3.8195760000000002E-5</v>
      </c>
      <c r="G9" s="12">
        <f>out!J6</f>
        <v>0.82612799999999997</v>
      </c>
      <c r="H9" s="12">
        <f>out!L6</f>
        <v>0.51218399999999997</v>
      </c>
      <c r="I9" s="12">
        <f>out!N6</f>
        <v>0.61683200000000005</v>
      </c>
    </row>
    <row r="10" spans="2:9" x14ac:dyDescent="0.2">
      <c r="B10" s="10" t="str">
        <f>_xlfn.TEXTBEFORE(_xlfn.TEXTAFTER(out!A7,"-i"),"-o")</f>
        <v>256</v>
      </c>
      <c r="C10" s="10" t="str">
        <f>_xlfn.TEXTAFTER(out!A7,"-o")</f>
        <v>4096</v>
      </c>
      <c r="D10" s="11">
        <f>out!D7</f>
        <v>6.0000540000000004</v>
      </c>
      <c r="E10" s="12">
        <f>out!F7</f>
        <v>4.9957213E-2</v>
      </c>
      <c r="F10" s="13">
        <f>out!H7</f>
        <v>4.6459862000000002E-5</v>
      </c>
      <c r="G10" s="12">
        <f>out!J7</f>
        <v>1.628342</v>
      </c>
      <c r="H10" s="12">
        <f>out!L7</f>
        <v>0.333426</v>
      </c>
      <c r="I10" s="12">
        <f>out!N7</f>
        <v>0.765065</v>
      </c>
    </row>
    <row r="11" spans="2:9" x14ac:dyDescent="0.2">
      <c r="B11" s="10" t="str">
        <f>_xlfn.TEXTBEFORE(_xlfn.TEXTAFTER(out!A8,"-i"),"-o")</f>
        <v>256</v>
      </c>
      <c r="C11" s="10" t="str">
        <f>_xlfn.TEXTAFTER(out!A8,"-o")</f>
        <v>64</v>
      </c>
      <c r="D11" s="11">
        <f>out!D8</f>
        <v>6.0294220000000003</v>
      </c>
      <c r="E11" s="12">
        <f>out!F8</f>
        <v>1.5459432E-2</v>
      </c>
      <c r="F11" s="13">
        <f>out!H8</f>
        <v>1.2840221100000001E-4</v>
      </c>
      <c r="G11" s="12">
        <f>out!J8</f>
        <v>2.0248889999999999</v>
      </c>
      <c r="H11" s="12">
        <f>out!L8</f>
        <v>0.87626999999999999</v>
      </c>
      <c r="I11" s="12">
        <f>out!N8</f>
        <v>1.2591429999999999</v>
      </c>
    </row>
    <row r="12" spans="2:9" x14ac:dyDescent="0.2">
      <c r="B12" s="10" t="str">
        <f>_xlfn.TEXTBEFORE(_xlfn.TEXTAFTER(out!A9,"-i"),"-o")</f>
        <v>4096</v>
      </c>
      <c r="C12" s="10" t="str">
        <f>_xlfn.TEXTAFTER(out!A9,"-o")</f>
        <v>1024</v>
      </c>
      <c r="D12" s="11">
        <f>out!D9</f>
        <v>6.0239339999999997</v>
      </c>
      <c r="E12" s="12">
        <f>out!F9</f>
        <v>2.5388566000000001E-2</v>
      </c>
      <c r="F12" s="13">
        <f>out!H9</f>
        <v>4.6007139000000002E-5</v>
      </c>
      <c r="G12" s="12">
        <f>out!J9</f>
        <v>3.5668069999999998</v>
      </c>
      <c r="H12" s="12">
        <f>out!L9</f>
        <v>0.35912699999999997</v>
      </c>
      <c r="I12" s="12">
        <f>out!N9</f>
        <v>1.4283539999999999</v>
      </c>
    </row>
    <row r="13" spans="2:9" x14ac:dyDescent="0.2">
      <c r="B13" s="10" t="str">
        <f>_xlfn.TEXTBEFORE(_xlfn.TEXTAFTER(out!A10,"-i"),"-o")</f>
        <v>4096</v>
      </c>
      <c r="C13" s="10" t="str">
        <f>_xlfn.TEXTAFTER(out!A10,"-o")</f>
        <v>256</v>
      </c>
      <c r="D13" s="11">
        <f>out!D10</f>
        <v>6.0260990000000003</v>
      </c>
      <c r="E13" s="12">
        <f>out!F10</f>
        <v>2.3400079000000001E-2</v>
      </c>
      <c r="F13" s="13">
        <f>out!H10</f>
        <v>4.0889510999999999E-5</v>
      </c>
      <c r="G13" s="12">
        <f>out!J10</f>
        <v>4.8437539999999997</v>
      </c>
      <c r="H13" s="12">
        <f>out!L10</f>
        <v>0.28496500000000002</v>
      </c>
      <c r="I13" s="12">
        <f>out!N10</f>
        <v>1.8045610000000001</v>
      </c>
    </row>
    <row r="14" spans="2:9" x14ac:dyDescent="0.2">
      <c r="B14" s="10" t="str">
        <f>_xlfn.TEXTBEFORE(_xlfn.TEXTAFTER(out!A11,"-i"),"-o")</f>
        <v>4096</v>
      </c>
      <c r="C14" s="10" t="str">
        <f>_xlfn.TEXTAFTER(out!A11,"-o")</f>
        <v>4096</v>
      </c>
      <c r="D14" s="11">
        <f>out!D11</f>
        <v>6.0236980000000004</v>
      </c>
      <c r="E14" s="12">
        <f>out!F11</f>
        <v>2.5792131999999999E-2</v>
      </c>
      <c r="F14" s="13">
        <f>out!H11</f>
        <v>5.2142187000000001E-5</v>
      </c>
      <c r="G14" s="12">
        <f>out!J11</f>
        <v>3.460337</v>
      </c>
      <c r="H14" s="12">
        <f>out!L11</f>
        <v>4.6838999999999999E-2</v>
      </c>
      <c r="I14" s="12">
        <f>out!N11</f>
        <v>1.1846719999999999</v>
      </c>
    </row>
    <row r="15" spans="2:9" x14ac:dyDescent="0.2">
      <c r="B15" s="10" t="str">
        <f>_xlfn.TEXTBEFORE(_xlfn.TEXTAFTER(out!A12,"-i"),"-o")</f>
        <v>4096</v>
      </c>
      <c r="C15" s="10" t="str">
        <f>_xlfn.TEXTAFTER(out!A12,"-o")</f>
        <v>64</v>
      </c>
      <c r="D15" s="11">
        <f>out!D12</f>
        <v>6.0279179999999997</v>
      </c>
      <c r="E15" s="12">
        <f>out!F12</f>
        <v>2.1128778000000001E-2</v>
      </c>
      <c r="F15" s="13">
        <f>out!H12</f>
        <v>4.9999999999999997E-12</v>
      </c>
      <c r="G15" s="12">
        <f>out!J12</f>
        <v>4.2836910000000001</v>
      </c>
      <c r="H15" s="12">
        <f>out!L12</f>
        <v>3.4951219999999998</v>
      </c>
      <c r="I15" s="12">
        <f>out!N12</f>
        <v>3.757978</v>
      </c>
    </row>
    <row r="16" spans="2:9" x14ac:dyDescent="0.2">
      <c r="B16" s="10" t="str">
        <f>_xlfn.TEXTBEFORE(_xlfn.TEXTAFTER(out!A13,"-i"),"-o")</f>
        <v>64</v>
      </c>
      <c r="C16" s="10" t="str">
        <f>_xlfn.TEXTAFTER(out!A13,"-o")</f>
        <v>1024</v>
      </c>
      <c r="D16" s="11">
        <f>out!D13</f>
        <v>6.0000239999999998</v>
      </c>
      <c r="E16" s="12">
        <f>out!F13</f>
        <v>4.9968895999999999E-2</v>
      </c>
      <c r="F16" s="13">
        <f>out!H13</f>
        <v>1.3346809E-5</v>
      </c>
      <c r="G16" s="12">
        <f>out!J13</f>
        <v>2.2265250000000001</v>
      </c>
      <c r="H16" s="12">
        <f>out!L13</f>
        <v>0.79239999999999999</v>
      </c>
      <c r="I16" s="12">
        <f>out!N13</f>
        <v>1.2704420000000001</v>
      </c>
    </row>
    <row r="17" spans="2:15" x14ac:dyDescent="0.2">
      <c r="B17" s="10" t="str">
        <f>_xlfn.TEXTBEFORE(_xlfn.TEXTAFTER(out!A14,"-i"),"-o")</f>
        <v>64</v>
      </c>
      <c r="C17" s="10" t="str">
        <f>_xlfn.TEXTAFTER(out!A14,"-o")</f>
        <v>256</v>
      </c>
      <c r="D17" s="11">
        <f>out!D14</f>
        <v>6.0166979999999999</v>
      </c>
      <c r="E17" s="12">
        <f>out!F14</f>
        <v>3.3311078000000001E-2</v>
      </c>
      <c r="F17" s="13">
        <f>out!H14</f>
        <v>1.2762776E-5</v>
      </c>
      <c r="G17" s="12">
        <f>out!J14</f>
        <v>2.2351209999999999</v>
      </c>
      <c r="H17" s="12">
        <f>out!L14</f>
        <v>0.36933100000000002</v>
      </c>
      <c r="I17" s="12">
        <f>out!N14</f>
        <v>0.99126099999999995</v>
      </c>
    </row>
    <row r="18" spans="2:15" x14ac:dyDescent="0.2">
      <c r="B18" s="10" t="str">
        <f>_xlfn.TEXTBEFORE(_xlfn.TEXTAFTER(out!A15,"-i"),"-o")</f>
        <v>64</v>
      </c>
      <c r="C18" s="10" t="str">
        <f>_xlfn.TEXTAFTER(out!A15,"-o")</f>
        <v>4096</v>
      </c>
      <c r="D18" s="11">
        <f>out!D15</f>
        <v>6.0987790000000004</v>
      </c>
      <c r="E18" s="12">
        <f>out!F15</f>
        <v>0.14695438</v>
      </c>
      <c r="F18" s="13">
        <f>out!H15</f>
        <v>3.9999999999999999E-12</v>
      </c>
      <c r="G18" s="12">
        <f>out!J15</f>
        <v>2.1009169999999999</v>
      </c>
      <c r="H18" s="12">
        <f>out!L15</f>
        <v>0.220883</v>
      </c>
      <c r="I18" s="12">
        <f>out!N15</f>
        <v>0.84756100000000001</v>
      </c>
    </row>
    <row r="19" spans="2:15" x14ac:dyDescent="0.2">
      <c r="B19" s="10" t="str">
        <f>_xlfn.TEXTBEFORE(_xlfn.TEXTAFTER(out!A16,"-i"),"-o")</f>
        <v>64</v>
      </c>
      <c r="C19" s="10" t="str">
        <f>_xlfn.TEXTAFTER(out!A16,"-o")</f>
        <v>64</v>
      </c>
      <c r="D19" s="11">
        <f>out!D16</f>
        <v>6.0279259999999999</v>
      </c>
      <c r="E19" s="12">
        <f>out!F16</f>
        <v>2.2009101E-2</v>
      </c>
      <c r="F19" s="13">
        <f>out!H16</f>
        <v>1.41453378E-4</v>
      </c>
      <c r="G19" s="12">
        <f>out!J16</f>
        <v>1.237417</v>
      </c>
      <c r="H19" s="12">
        <f>out!L16</f>
        <v>0.77764699999999998</v>
      </c>
      <c r="I19" s="12">
        <f>out!N16</f>
        <v>0.93090399999999995</v>
      </c>
    </row>
    <row r="25" spans="2:15" x14ac:dyDescent="0.2">
      <c r="L25" s="4"/>
      <c r="M25" s="4"/>
      <c r="N25" s="4"/>
      <c r="O25" s="4"/>
    </row>
    <row r="26" spans="2:15" x14ac:dyDescent="0.2">
      <c r="K26" s="4"/>
    </row>
    <row r="27" spans="2:15" x14ac:dyDescent="0.2">
      <c r="K27" s="4"/>
    </row>
    <row r="28" spans="2:15" x14ac:dyDescent="0.2">
      <c r="K28" s="4"/>
    </row>
    <row r="29" spans="2:15" x14ac:dyDescent="0.2">
      <c r="K2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main</vt:lpstr>
      <vt:lpstr>out</vt:lpstr>
      <vt:lpstr>data</vt:lpstr>
      <vt:lpstr>alpha</vt:lpstr>
      <vt:lpstr>avgError</vt:lpstr>
      <vt:lpstr>avgITLError</vt:lpstr>
      <vt:lpstr>avgTTFTError</vt:lpstr>
      <vt:lpstr>beta</vt:lpstr>
      <vt:lpstr>gamma</vt:lpstr>
      <vt:lpstr>inTokens</vt:lpstr>
      <vt:lpstr>outTokens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Asser Tantawi</dc:creator>
  <cp:lastModifiedBy>Asser Tantawi</cp:lastModifiedBy>
  <dcterms:created xsi:type="dcterms:W3CDTF">2025-11-10T22:19:33Z</dcterms:created>
  <dcterms:modified xsi:type="dcterms:W3CDTF">2026-02-06T20:06:23Z</dcterms:modified>
</cp:coreProperties>
</file>