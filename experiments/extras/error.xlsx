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tawi/Projects/llm-inferno/model-trainer/experiments/exp3/results/"/>
    </mc:Choice>
  </mc:AlternateContent>
  <xr:revisionPtr revIDLastSave="0" documentId="13_ncr:1_{F29C3965-484F-A44B-95BB-7D38E906148F}" xr6:coauthVersionLast="47" xr6:coauthVersionMax="47" xr10:uidLastSave="{00000000-0000-0000-0000-000000000000}"/>
  <bookViews>
    <workbookView xWindow="-28080" yWindow="1940" windowWidth="16380" windowHeight="19040" xr2:uid="{C822ECB4-A77D-D347-946D-AF1EAAE22E8D}"/>
  </bookViews>
  <sheets>
    <sheet name="data" sheetId="1" r:id="rId1"/>
    <sheet name="resul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2" l="1"/>
  <c r="E9" i="2"/>
  <c r="K114" i="1"/>
  <c r="J114" i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K2" i="1"/>
  <c r="J2" i="1"/>
  <c r="D10" i="2"/>
  <c r="D9" i="2"/>
  <c r="C10" i="2"/>
  <c r="C9" i="2"/>
  <c r="E114" i="1"/>
  <c r="C6" i="2"/>
  <c r="B6" i="2"/>
  <c r="C5" i="2"/>
  <c r="B5" i="2"/>
  <c r="C4" i="2"/>
  <c r="B4" i="2"/>
  <c r="G114" i="1"/>
</calcChain>
</file>

<file path=xl/sharedStrings.xml><?xml version="1.0" encoding="utf-8"?>
<sst xmlns="http://schemas.openxmlformats.org/spreadsheetml/2006/main" count="22" uniqueCount="22">
  <si>
    <t>rps</t>
  </si>
  <si>
    <t>inToken</t>
  </si>
  <si>
    <t>outToken</t>
  </si>
  <si>
    <t>TTFTMeas</t>
  </si>
  <si>
    <t>TTFTPred</t>
  </si>
  <si>
    <t>ITLMeas</t>
  </si>
  <si>
    <t>ITLPred</t>
  </si>
  <si>
    <t>Average</t>
  </si>
  <si>
    <t>Summary</t>
  </si>
  <si>
    <t>alpha</t>
  </si>
  <si>
    <t>beta</t>
  </si>
  <si>
    <t>gamma</t>
  </si>
  <si>
    <t>errTTFT</t>
  </si>
  <si>
    <t>errITL</t>
  </si>
  <si>
    <t>errWeightedAvg</t>
  </si>
  <si>
    <t>TTFT</t>
  </si>
  <si>
    <t>ITL</t>
  </si>
  <si>
    <t>Avg</t>
  </si>
  <si>
    <t>Abs-err</t>
  </si>
  <si>
    <t>Rel-err</t>
  </si>
  <si>
    <t>TTFTRelErr</t>
  </si>
  <si>
    <t>ITLRelErr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</si>
</sst>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E+00"/>
    <numFmt numFmtId="165" formatCode="0.00000"/>
    <numFmt numFmtId="166" formatCode="0.0000"/>
    <numFmt numFmtId="167" formatCode="#,##0.0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C875-A988-424C-A68A-C8FE15959667}">
  <dimension ref="A1:K114"/>
  <sheetViews>
    <sheetView tabSelected="1" topLeftCell="A73" workbookViewId="0">
      <selection activeCell="L99" sqref="L99"/>
    </sheetView>
  </sheetViews>
  <sheetFormatPr baseColWidth="10" defaultRowHeight="16" x14ac:dyDescent="0.2"/>
  <cols>
    <col min="2" max="8" width="10.83203125" style="1"/>
  </cols>
  <sheetData>
    <row r="1" spans="2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1" t="s">
        <v>20</v>
      </c>
      <c r="K1" s="1" t="s">
        <v>21</v>
      </c>
    </row>
    <row r="2" spans="2:11" x14ac:dyDescent="0.2">
      <c r="B2" s="1">
        <v>0.15</v>
      </c>
      <c r="C2" s="1">
        <v>960.63</v>
      </c>
      <c r="D2" s="1">
        <v>973.89</v>
      </c>
      <c r="E2" s="1">
        <v>36.31</v>
      </c>
      <c r="F2" s="1">
        <v>34.5</v>
      </c>
      <c r="G2" s="1">
        <v>6.76</v>
      </c>
      <c r="H2" s="1">
        <v>6.82</v>
      </c>
      <c r="J2" s="5">
        <f>ABS(E2-F2)/E2</f>
        <v>4.9848526576700691E-2</v>
      </c>
      <c r="K2" s="5">
        <f>ABS(G2-H2)/G2</f>
        <v>8.8757396449704873E-3</v>
      </c>
    </row>
    <row r="3" spans="2:11" x14ac:dyDescent="0.2">
      <c r="B3" s="1">
        <v>0.86</v>
      </c>
      <c r="C3" s="1">
        <v>1028.1600000000001</v>
      </c>
      <c r="D3" s="1">
        <v>1049.1400000000001</v>
      </c>
      <c r="E3" s="1">
        <v>44.54</v>
      </c>
      <c r="F3" s="1">
        <v>37.4</v>
      </c>
      <c r="G3" s="1">
        <v>7.62</v>
      </c>
      <c r="H3" s="1">
        <v>7.53</v>
      </c>
      <c r="J3" s="5">
        <f t="shared" ref="J3:J66" si="0">ABS(E3-F3)/E3</f>
        <v>0.1603053435114504</v>
      </c>
      <c r="K3" s="5">
        <f t="shared" ref="K3:K66" si="1">ABS(G3-H3)/G3</f>
        <v>1.1811023622047225E-2</v>
      </c>
    </row>
    <row r="4" spans="2:11" x14ac:dyDescent="0.2">
      <c r="B4" s="1">
        <v>1.56</v>
      </c>
      <c r="C4" s="1">
        <v>1014.27</v>
      </c>
      <c r="D4" s="1">
        <v>1017.94</v>
      </c>
      <c r="E4" s="1">
        <v>42.86</v>
      </c>
      <c r="F4" s="1">
        <v>38.590000000000003</v>
      </c>
      <c r="G4" s="1">
        <v>8.4</v>
      </c>
      <c r="H4" s="1">
        <v>8.2799999999999994</v>
      </c>
      <c r="J4" s="5">
        <f t="shared" si="0"/>
        <v>9.9626691553896321E-2</v>
      </c>
      <c r="K4" s="5">
        <f t="shared" si="1"/>
        <v>1.4285714285714403E-2</v>
      </c>
    </row>
    <row r="5" spans="2:11" x14ac:dyDescent="0.2">
      <c r="B5" s="1">
        <v>2.25</v>
      </c>
      <c r="C5" s="1">
        <v>1032.21</v>
      </c>
      <c r="D5" s="1">
        <v>1033.33</v>
      </c>
      <c r="E5" s="1">
        <v>44.31</v>
      </c>
      <c r="F5" s="1">
        <v>41.1</v>
      </c>
      <c r="G5" s="1">
        <v>9.3000000000000007</v>
      </c>
      <c r="H5" s="1">
        <v>9.34</v>
      </c>
      <c r="J5" s="5">
        <f t="shared" si="0"/>
        <v>7.2444143534190944E-2</v>
      </c>
      <c r="K5" s="5">
        <f t="shared" si="1"/>
        <v>4.3010752688171124E-3</v>
      </c>
    </row>
    <row r="6" spans="2:11" x14ac:dyDescent="0.2">
      <c r="B6" s="1">
        <v>2.94</v>
      </c>
      <c r="C6" s="1">
        <v>1034.93</v>
      </c>
      <c r="D6" s="1">
        <v>1012.16</v>
      </c>
      <c r="E6" s="1">
        <v>45.42</v>
      </c>
      <c r="F6" s="1">
        <v>43.48</v>
      </c>
      <c r="G6" s="1">
        <v>10.25</v>
      </c>
      <c r="H6" s="1">
        <v>10.5</v>
      </c>
      <c r="J6" s="5">
        <f t="shared" si="0"/>
        <v>4.2712461470717847E-2</v>
      </c>
      <c r="K6" s="5">
        <f t="shared" si="1"/>
        <v>2.4390243902439025E-2</v>
      </c>
    </row>
    <row r="7" spans="2:11" x14ac:dyDescent="0.2">
      <c r="B7" s="1">
        <v>3.63</v>
      </c>
      <c r="C7" s="1">
        <v>1037.46</v>
      </c>
      <c r="D7" s="1">
        <v>1039.26</v>
      </c>
      <c r="E7" s="1">
        <v>47.84</v>
      </c>
      <c r="F7" s="1">
        <v>47.29</v>
      </c>
      <c r="G7" s="1">
        <v>12.07</v>
      </c>
      <c r="H7" s="1">
        <v>12.38</v>
      </c>
      <c r="J7" s="5">
        <f t="shared" si="0"/>
        <v>1.1496655518394737E-2</v>
      </c>
      <c r="K7" s="5">
        <f t="shared" si="1"/>
        <v>2.5683512841756462E-2</v>
      </c>
    </row>
    <row r="8" spans="2:11" x14ac:dyDescent="0.2">
      <c r="B8" s="1">
        <v>4.3099999999999996</v>
      </c>
      <c r="C8" s="1">
        <v>1019.04</v>
      </c>
      <c r="D8" s="1">
        <v>1025.21</v>
      </c>
      <c r="E8" s="1">
        <v>49.99</v>
      </c>
      <c r="F8" s="1">
        <v>50.66</v>
      </c>
      <c r="G8" s="1">
        <v>13.63</v>
      </c>
      <c r="H8" s="1">
        <v>14.26</v>
      </c>
      <c r="J8" s="5">
        <f t="shared" si="0"/>
        <v>1.3402680536107114E-2</v>
      </c>
      <c r="K8" s="5">
        <f t="shared" si="1"/>
        <v>4.622157006603074E-2</v>
      </c>
    </row>
    <row r="9" spans="2:11" x14ac:dyDescent="0.2">
      <c r="B9" s="1">
        <v>0.57999999999999996</v>
      </c>
      <c r="C9" s="1">
        <v>999.5</v>
      </c>
      <c r="D9" s="1">
        <v>253.64</v>
      </c>
      <c r="E9" s="1">
        <v>34.729999999999997</v>
      </c>
      <c r="F9" s="1">
        <v>35.49</v>
      </c>
      <c r="G9" s="1">
        <v>6.68</v>
      </c>
      <c r="H9" s="1">
        <v>6.9</v>
      </c>
      <c r="J9" s="5">
        <f t="shared" si="0"/>
        <v>2.1883098186006485E-2</v>
      </c>
      <c r="K9" s="5">
        <f t="shared" si="1"/>
        <v>3.2934131736527046E-2</v>
      </c>
    </row>
    <row r="10" spans="2:11" x14ac:dyDescent="0.2">
      <c r="B10" s="1">
        <v>2.95</v>
      </c>
      <c r="C10" s="1">
        <v>1026.28</v>
      </c>
      <c r="D10" s="1">
        <v>255.33</v>
      </c>
      <c r="E10" s="1">
        <v>39.22</v>
      </c>
      <c r="F10" s="1">
        <v>37.71</v>
      </c>
      <c r="G10" s="1">
        <v>7.59</v>
      </c>
      <c r="H10" s="1">
        <v>7.72</v>
      </c>
      <c r="J10" s="5">
        <f t="shared" si="0"/>
        <v>3.8500764915859208E-2</v>
      </c>
      <c r="K10" s="5">
        <f t="shared" si="1"/>
        <v>1.7127799736495374E-2</v>
      </c>
    </row>
    <row r="11" spans="2:11" x14ac:dyDescent="0.2">
      <c r="B11" s="1">
        <v>5.31</v>
      </c>
      <c r="C11" s="1">
        <v>1027.22</v>
      </c>
      <c r="D11" s="1">
        <v>257.93</v>
      </c>
      <c r="E11" s="1">
        <v>39.69</v>
      </c>
      <c r="F11" s="1">
        <v>39.81</v>
      </c>
      <c r="G11" s="1">
        <v>8.6300000000000008</v>
      </c>
      <c r="H11" s="1">
        <v>8.76</v>
      </c>
      <c r="J11" s="5">
        <f t="shared" si="0"/>
        <v>3.0234315948602809E-3</v>
      </c>
      <c r="K11" s="5">
        <f t="shared" si="1"/>
        <v>1.5063731170335921E-2</v>
      </c>
    </row>
    <row r="12" spans="2:11" x14ac:dyDescent="0.2">
      <c r="B12" s="1">
        <v>7.68</v>
      </c>
      <c r="C12" s="1">
        <v>1027.5899999999999</v>
      </c>
      <c r="D12" s="1">
        <v>258.27</v>
      </c>
      <c r="E12" s="1">
        <v>40.46</v>
      </c>
      <c r="F12" s="1">
        <v>42.51</v>
      </c>
      <c r="G12" s="1">
        <v>9.66</v>
      </c>
      <c r="H12" s="1">
        <v>10.11</v>
      </c>
      <c r="J12" s="5">
        <f t="shared" si="0"/>
        <v>5.0667325753830872E-2</v>
      </c>
      <c r="K12" s="5">
        <f t="shared" si="1"/>
        <v>4.6583850931676947E-2</v>
      </c>
    </row>
    <row r="13" spans="2:11" x14ac:dyDescent="0.2">
      <c r="B13" s="1">
        <v>10.039999999999999</v>
      </c>
      <c r="C13" s="1">
        <v>1033.52</v>
      </c>
      <c r="D13" s="1">
        <v>257.95999999999998</v>
      </c>
      <c r="E13" s="1">
        <v>41.81</v>
      </c>
      <c r="F13" s="1">
        <v>46.36</v>
      </c>
      <c r="G13" s="1">
        <v>11</v>
      </c>
      <c r="H13" s="1">
        <v>11.96</v>
      </c>
      <c r="J13" s="5">
        <f t="shared" si="0"/>
        <v>0.10882563979909106</v>
      </c>
      <c r="K13" s="5">
        <f t="shared" si="1"/>
        <v>8.7272727272727349E-2</v>
      </c>
    </row>
    <row r="14" spans="2:11" x14ac:dyDescent="0.2">
      <c r="B14" s="1">
        <v>12.38</v>
      </c>
      <c r="C14" s="1">
        <v>1028.3</v>
      </c>
      <c r="D14" s="1">
        <v>257.32</v>
      </c>
      <c r="E14" s="1">
        <v>43.55</v>
      </c>
      <c r="F14" s="1">
        <v>51.3</v>
      </c>
      <c r="G14" s="1">
        <v>12.91</v>
      </c>
      <c r="H14" s="1">
        <v>14.49</v>
      </c>
      <c r="J14" s="5">
        <f t="shared" si="0"/>
        <v>0.17795637198622274</v>
      </c>
      <c r="K14" s="5">
        <f t="shared" si="1"/>
        <v>0.12238574748257165</v>
      </c>
    </row>
    <row r="15" spans="2:11" x14ac:dyDescent="0.2">
      <c r="B15" s="1">
        <v>14.71</v>
      </c>
      <c r="C15" s="1">
        <v>1030.81</v>
      </c>
      <c r="D15" s="1">
        <v>257.23</v>
      </c>
      <c r="E15" s="1">
        <v>46.51</v>
      </c>
      <c r="F15" s="1">
        <v>59.4</v>
      </c>
      <c r="G15" s="1">
        <v>15.72</v>
      </c>
      <c r="H15" s="1">
        <v>18.52</v>
      </c>
      <c r="J15" s="5">
        <f t="shared" si="0"/>
        <v>0.27714470006450226</v>
      </c>
      <c r="K15" s="5">
        <f t="shared" si="1"/>
        <v>0.17811704834605591</v>
      </c>
    </row>
    <row r="16" spans="2:11" x14ac:dyDescent="0.2">
      <c r="B16" s="1">
        <v>0.03</v>
      </c>
      <c r="C16" s="1">
        <v>827.09</v>
      </c>
      <c r="D16" s="1">
        <v>4410.2700000000004</v>
      </c>
      <c r="E16" s="1">
        <v>38.65</v>
      </c>
      <c r="F16" s="1">
        <v>31.84</v>
      </c>
      <c r="G16" s="1">
        <v>6.9</v>
      </c>
      <c r="H16" s="1">
        <v>7.02</v>
      </c>
      <c r="J16" s="5">
        <f t="shared" si="0"/>
        <v>0.1761966364812419</v>
      </c>
      <c r="K16" s="5">
        <f t="shared" si="1"/>
        <v>1.7391304347825973E-2</v>
      </c>
    </row>
    <row r="17" spans="2:11" x14ac:dyDescent="0.2">
      <c r="B17" s="1">
        <v>0.14000000000000001</v>
      </c>
      <c r="C17" s="1">
        <v>1094.02</v>
      </c>
      <c r="D17" s="1">
        <v>4120.72</v>
      </c>
      <c r="E17" s="1">
        <v>49.27</v>
      </c>
      <c r="F17" s="1">
        <v>38.92</v>
      </c>
      <c r="G17" s="1">
        <v>7.68</v>
      </c>
      <c r="H17" s="1">
        <v>7.64</v>
      </c>
      <c r="J17" s="5">
        <f t="shared" si="0"/>
        <v>0.21006697787700429</v>
      </c>
      <c r="K17" s="5">
        <f t="shared" si="1"/>
        <v>5.2083333333333382E-3</v>
      </c>
    </row>
    <row r="18" spans="2:11" x14ac:dyDescent="0.2">
      <c r="B18" s="1">
        <v>0.24</v>
      </c>
      <c r="C18" s="1">
        <v>1028.8699999999999</v>
      </c>
      <c r="D18" s="1">
        <v>4034.6</v>
      </c>
      <c r="E18" s="1">
        <v>46.58</v>
      </c>
      <c r="F18" s="1">
        <v>38.72</v>
      </c>
      <c r="G18" s="1">
        <v>8.49</v>
      </c>
      <c r="H18" s="1">
        <v>8.25</v>
      </c>
      <c r="J18" s="5">
        <f t="shared" si="0"/>
        <v>0.16874194933447831</v>
      </c>
      <c r="K18" s="5">
        <f t="shared" si="1"/>
        <v>2.8268551236749141E-2</v>
      </c>
    </row>
    <row r="19" spans="2:11" x14ac:dyDescent="0.2">
      <c r="B19" s="1">
        <v>0.32</v>
      </c>
      <c r="C19" s="1">
        <v>1068.57</v>
      </c>
      <c r="D19" s="1">
        <v>4148.97</v>
      </c>
      <c r="E19" s="1">
        <v>49.96</v>
      </c>
      <c r="F19" s="1">
        <v>41.26</v>
      </c>
      <c r="G19" s="1">
        <v>9.4700000000000006</v>
      </c>
      <c r="H19" s="1">
        <v>9.09</v>
      </c>
      <c r="J19" s="5">
        <f t="shared" si="0"/>
        <v>0.1741393114491594</v>
      </c>
      <c r="K19" s="5">
        <f t="shared" si="1"/>
        <v>4.012671594508984E-2</v>
      </c>
    </row>
    <row r="20" spans="2:11" x14ac:dyDescent="0.2">
      <c r="B20" s="1">
        <v>0.42</v>
      </c>
      <c r="C20" s="1">
        <v>1048.1099999999999</v>
      </c>
      <c r="D20" s="1">
        <v>4047.03</v>
      </c>
      <c r="E20" s="1">
        <v>50.23</v>
      </c>
      <c r="F20" s="1">
        <v>42.31</v>
      </c>
      <c r="G20" s="1">
        <v>10.29</v>
      </c>
      <c r="H20" s="1">
        <v>9.83</v>
      </c>
      <c r="J20" s="5">
        <f t="shared" si="0"/>
        <v>0.15767469639657566</v>
      </c>
      <c r="K20" s="5">
        <f t="shared" si="1"/>
        <v>4.47035957240038E-2</v>
      </c>
    </row>
    <row r="21" spans="2:11" x14ac:dyDescent="0.2">
      <c r="B21" s="1">
        <v>0.51</v>
      </c>
      <c r="C21" s="1">
        <v>1042.52</v>
      </c>
      <c r="D21" s="1">
        <v>4159.8</v>
      </c>
      <c r="E21" s="1">
        <v>53</v>
      </c>
      <c r="F21" s="1">
        <v>44.76</v>
      </c>
      <c r="G21" s="1">
        <v>11.69</v>
      </c>
      <c r="H21" s="1">
        <v>11.12</v>
      </c>
      <c r="J21" s="5">
        <f t="shared" si="0"/>
        <v>0.15547169811320757</v>
      </c>
      <c r="K21" s="5">
        <f t="shared" si="1"/>
        <v>4.8759623609923038E-2</v>
      </c>
    </row>
    <row r="22" spans="2:11" x14ac:dyDescent="0.2">
      <c r="B22" s="1">
        <v>0.59</v>
      </c>
      <c r="C22" s="1">
        <v>1037.8499999999999</v>
      </c>
      <c r="D22" s="1">
        <v>3984.76</v>
      </c>
      <c r="E22" s="1">
        <v>54.23</v>
      </c>
      <c r="F22" s="1">
        <v>46.06</v>
      </c>
      <c r="G22" s="1">
        <v>12.71</v>
      </c>
      <c r="H22" s="1">
        <v>11.82</v>
      </c>
      <c r="J22" s="5">
        <f t="shared" si="0"/>
        <v>0.15065461921445686</v>
      </c>
      <c r="K22" s="5">
        <f t="shared" si="1"/>
        <v>7.0023603461841111E-2</v>
      </c>
    </row>
    <row r="23" spans="2:11" x14ac:dyDescent="0.2">
      <c r="B23" s="1">
        <v>2.1800000000000002</v>
      </c>
      <c r="C23" s="1">
        <v>1027.28</v>
      </c>
      <c r="D23" s="1">
        <v>63.41</v>
      </c>
      <c r="E23" s="1">
        <v>34.26</v>
      </c>
      <c r="F23" s="1">
        <v>36.96</v>
      </c>
      <c r="G23" s="1">
        <v>6.77</v>
      </c>
      <c r="H23" s="1">
        <v>7.46</v>
      </c>
      <c r="J23" s="5">
        <f t="shared" si="0"/>
        <v>7.8809106830122683E-2</v>
      </c>
      <c r="K23" s="5">
        <f t="shared" si="1"/>
        <v>0.10192023633677998</v>
      </c>
    </row>
    <row r="24" spans="2:11" x14ac:dyDescent="0.2">
      <c r="B24" s="1">
        <v>5.99</v>
      </c>
      <c r="C24" s="1">
        <v>1023.43</v>
      </c>
      <c r="D24" s="1">
        <v>64.099999999999994</v>
      </c>
      <c r="E24" s="1">
        <v>37.51</v>
      </c>
      <c r="F24" s="1">
        <v>38.79</v>
      </c>
      <c r="G24" s="1">
        <v>7.76</v>
      </c>
      <c r="H24" s="1">
        <v>8.42</v>
      </c>
      <c r="J24" s="5">
        <f t="shared" si="0"/>
        <v>3.4124233537723307E-2</v>
      </c>
      <c r="K24" s="5">
        <f t="shared" si="1"/>
        <v>8.5051546391752594E-2</v>
      </c>
    </row>
    <row r="25" spans="2:11" x14ac:dyDescent="0.2">
      <c r="B25" s="1">
        <v>9.7899999999999991</v>
      </c>
      <c r="C25" s="1">
        <v>1030.68</v>
      </c>
      <c r="D25" s="1">
        <v>64.42</v>
      </c>
      <c r="E25" s="1">
        <v>37.51</v>
      </c>
      <c r="F25" s="1">
        <v>41.48</v>
      </c>
      <c r="G25" s="1">
        <v>8.7200000000000006</v>
      </c>
      <c r="H25" s="1">
        <v>9.68</v>
      </c>
      <c r="J25" s="5">
        <f t="shared" si="0"/>
        <v>0.10583844308184481</v>
      </c>
      <c r="K25" s="5">
        <f t="shared" si="1"/>
        <v>0.11009174311926594</v>
      </c>
    </row>
    <row r="26" spans="2:11" x14ac:dyDescent="0.2">
      <c r="B26" s="1">
        <v>13.59</v>
      </c>
      <c r="C26" s="1">
        <v>1027.93</v>
      </c>
      <c r="D26" s="1">
        <v>64.53</v>
      </c>
      <c r="E26" s="1">
        <v>38.11</v>
      </c>
      <c r="F26" s="1">
        <v>44.71</v>
      </c>
      <c r="G26" s="1">
        <v>10.02</v>
      </c>
      <c r="H26" s="1">
        <v>11.33</v>
      </c>
      <c r="J26" s="5">
        <f t="shared" si="0"/>
        <v>0.1731828916294936</v>
      </c>
      <c r="K26" s="5">
        <f t="shared" si="1"/>
        <v>0.13073852295409188</v>
      </c>
    </row>
    <row r="27" spans="2:11" x14ac:dyDescent="0.2">
      <c r="B27" s="1">
        <v>17.38</v>
      </c>
      <c r="C27" s="1">
        <v>1026.6300000000001</v>
      </c>
      <c r="D27" s="1">
        <v>64.319999999999993</v>
      </c>
      <c r="E27" s="1">
        <v>39.03</v>
      </c>
      <c r="F27" s="1">
        <v>49.26</v>
      </c>
      <c r="G27" s="1">
        <v>11.67</v>
      </c>
      <c r="H27" s="1">
        <v>13.61</v>
      </c>
      <c r="J27" s="5">
        <f t="shared" si="0"/>
        <v>0.26210607225211369</v>
      </c>
      <c r="K27" s="5">
        <f t="shared" si="1"/>
        <v>0.16623821765209937</v>
      </c>
    </row>
    <row r="28" spans="2:11" x14ac:dyDescent="0.2">
      <c r="B28" s="1">
        <v>21.17</v>
      </c>
      <c r="C28" s="1">
        <v>1031.26</v>
      </c>
      <c r="D28" s="1">
        <v>64.430000000000007</v>
      </c>
      <c r="E28" s="1">
        <v>40.28</v>
      </c>
      <c r="F28" s="1">
        <v>56.43</v>
      </c>
      <c r="G28" s="1">
        <v>13.97</v>
      </c>
      <c r="H28" s="1">
        <v>17.149999999999999</v>
      </c>
      <c r="J28" s="5">
        <f t="shared" si="0"/>
        <v>0.40094339622641506</v>
      </c>
      <c r="K28" s="5">
        <f t="shared" si="1"/>
        <v>0.22763063707945583</v>
      </c>
    </row>
    <row r="29" spans="2:11" x14ac:dyDescent="0.2">
      <c r="B29" s="1">
        <v>24.96</v>
      </c>
      <c r="C29" s="1">
        <v>1029.54</v>
      </c>
      <c r="D29" s="1">
        <v>64.44</v>
      </c>
      <c r="E29" s="1">
        <v>42.08</v>
      </c>
      <c r="F29" s="1">
        <v>67.75</v>
      </c>
      <c r="G29" s="1">
        <v>17.399999999999999</v>
      </c>
      <c r="H29" s="1">
        <v>22.83</v>
      </c>
      <c r="J29" s="5">
        <f t="shared" si="0"/>
        <v>0.61002851711026618</v>
      </c>
      <c r="K29" s="5">
        <f t="shared" si="1"/>
        <v>0.31206896551724139</v>
      </c>
    </row>
    <row r="30" spans="2:11" x14ac:dyDescent="0.2">
      <c r="B30" s="1">
        <v>0.15</v>
      </c>
      <c r="C30" s="1">
        <v>239.85</v>
      </c>
      <c r="D30" s="1">
        <v>973.89</v>
      </c>
      <c r="E30" s="1">
        <v>17.899999999999999</v>
      </c>
      <c r="F30" s="1">
        <v>18.489999999999998</v>
      </c>
      <c r="G30" s="1">
        <v>6.75</v>
      </c>
      <c r="H30" s="1">
        <v>6.68</v>
      </c>
      <c r="J30" s="5">
        <f t="shared" si="0"/>
        <v>3.2960893854748596E-2</v>
      </c>
      <c r="K30" s="5">
        <f t="shared" si="1"/>
        <v>1.0370370370370412E-2</v>
      </c>
    </row>
    <row r="31" spans="2:11" x14ac:dyDescent="0.2">
      <c r="B31" s="1">
        <v>1.43</v>
      </c>
      <c r="C31" s="1">
        <v>251.25</v>
      </c>
      <c r="D31" s="1">
        <v>1020.3</v>
      </c>
      <c r="E31" s="1">
        <v>23.73</v>
      </c>
      <c r="F31" s="1">
        <v>20.010000000000002</v>
      </c>
      <c r="G31" s="1">
        <v>7.62</v>
      </c>
      <c r="H31" s="1">
        <v>7.31</v>
      </c>
      <c r="J31" s="5">
        <f t="shared" si="0"/>
        <v>0.15676359039190893</v>
      </c>
      <c r="K31" s="5">
        <f t="shared" si="1"/>
        <v>4.0682414698162792E-2</v>
      </c>
    </row>
    <row r="32" spans="2:11" x14ac:dyDescent="0.2">
      <c r="B32" s="1">
        <v>2.7</v>
      </c>
      <c r="C32" s="1">
        <v>261.5</v>
      </c>
      <c r="D32" s="1">
        <v>1028.43</v>
      </c>
      <c r="E32" s="1">
        <v>24.05</v>
      </c>
      <c r="F32" s="1">
        <v>21.82</v>
      </c>
      <c r="G32" s="1">
        <v>8.27</v>
      </c>
      <c r="H32" s="1">
        <v>8.1</v>
      </c>
      <c r="J32" s="5">
        <f t="shared" si="0"/>
        <v>9.2723492723492743E-2</v>
      </c>
      <c r="K32" s="5">
        <f t="shared" si="1"/>
        <v>2.0556227327690441E-2</v>
      </c>
    </row>
    <row r="33" spans="2:11" x14ac:dyDescent="0.2">
      <c r="B33" s="1">
        <v>3.98</v>
      </c>
      <c r="C33" s="1">
        <v>257.86</v>
      </c>
      <c r="D33" s="1">
        <v>1029.8699999999999</v>
      </c>
      <c r="E33" s="1">
        <v>25.46</v>
      </c>
      <c r="F33" s="1">
        <v>23.65</v>
      </c>
      <c r="G33" s="1">
        <v>9.07</v>
      </c>
      <c r="H33" s="1">
        <v>9.06</v>
      </c>
      <c r="J33" s="5">
        <f t="shared" si="0"/>
        <v>7.1091908876669371E-2</v>
      </c>
      <c r="K33" s="5">
        <f t="shared" si="1"/>
        <v>1.1025358324145299E-3</v>
      </c>
    </row>
    <row r="34" spans="2:11" x14ac:dyDescent="0.2">
      <c r="B34" s="1">
        <v>5.23</v>
      </c>
      <c r="C34" s="1">
        <v>256</v>
      </c>
      <c r="D34" s="1">
        <v>1029</v>
      </c>
      <c r="E34" s="1">
        <v>28.05</v>
      </c>
      <c r="F34" s="1">
        <v>25.96</v>
      </c>
      <c r="G34" s="1">
        <v>10.25</v>
      </c>
      <c r="H34" s="1">
        <v>10.23</v>
      </c>
      <c r="J34" s="5">
        <f t="shared" si="0"/>
        <v>7.4509803921568626E-2</v>
      </c>
      <c r="K34" s="5">
        <f t="shared" si="1"/>
        <v>1.9512195121950803E-3</v>
      </c>
    </row>
    <row r="35" spans="2:11" x14ac:dyDescent="0.2">
      <c r="B35" s="1">
        <v>6.46</v>
      </c>
      <c r="C35" s="1">
        <v>258.74</v>
      </c>
      <c r="D35" s="1">
        <v>1029.3900000000001</v>
      </c>
      <c r="E35" s="1">
        <v>31.34</v>
      </c>
      <c r="F35" s="1">
        <v>29.08</v>
      </c>
      <c r="G35" s="1">
        <v>11.7</v>
      </c>
      <c r="H35" s="1">
        <v>11.77</v>
      </c>
      <c r="J35" s="5">
        <f t="shared" si="0"/>
        <v>7.2112316528398265E-2</v>
      </c>
      <c r="K35" s="5">
        <f t="shared" si="1"/>
        <v>5.9829059829060076E-3</v>
      </c>
    </row>
    <row r="36" spans="2:11" x14ac:dyDescent="0.2">
      <c r="B36" s="1">
        <v>7.67</v>
      </c>
      <c r="C36" s="1">
        <v>256.14999999999998</v>
      </c>
      <c r="D36" s="1">
        <v>1026.44</v>
      </c>
      <c r="E36" s="1">
        <v>34.86</v>
      </c>
      <c r="F36" s="1">
        <v>32.840000000000003</v>
      </c>
      <c r="G36" s="1">
        <v>13.37</v>
      </c>
      <c r="H36" s="1">
        <v>13.67</v>
      </c>
      <c r="J36" s="5">
        <f t="shared" si="0"/>
        <v>5.7946069994262654E-2</v>
      </c>
      <c r="K36" s="5">
        <f t="shared" si="1"/>
        <v>2.2438294689603646E-2</v>
      </c>
    </row>
    <row r="37" spans="2:11" x14ac:dyDescent="0.2">
      <c r="B37" s="1">
        <v>0.56000000000000005</v>
      </c>
      <c r="C37" s="1">
        <v>250.66</v>
      </c>
      <c r="D37" s="1">
        <v>252.15</v>
      </c>
      <c r="E37" s="1">
        <v>16.2</v>
      </c>
      <c r="F37" s="1">
        <v>18.71</v>
      </c>
      <c r="G37" s="1">
        <v>7.06</v>
      </c>
      <c r="H37" s="1">
        <v>6.65</v>
      </c>
      <c r="J37" s="5">
        <f t="shared" si="0"/>
        <v>0.15493827160493837</v>
      </c>
      <c r="K37" s="5">
        <f t="shared" si="1"/>
        <v>5.8073654390934738E-2</v>
      </c>
    </row>
    <row r="38" spans="2:11" x14ac:dyDescent="0.2">
      <c r="B38" s="1">
        <v>5.96</v>
      </c>
      <c r="C38" s="1">
        <v>256.23</v>
      </c>
      <c r="D38" s="1">
        <v>255.93</v>
      </c>
      <c r="E38" s="1">
        <v>20.77</v>
      </c>
      <c r="F38" s="1">
        <v>20.12</v>
      </c>
      <c r="G38" s="1">
        <v>7.62</v>
      </c>
      <c r="H38" s="1">
        <v>7.3</v>
      </c>
      <c r="J38" s="5">
        <f t="shared" si="0"/>
        <v>3.1295137217140036E-2</v>
      </c>
      <c r="K38" s="5">
        <f t="shared" si="1"/>
        <v>4.1994750656168013E-2</v>
      </c>
    </row>
    <row r="39" spans="2:11" x14ac:dyDescent="0.2">
      <c r="B39" s="1">
        <v>11.36</v>
      </c>
      <c r="C39" s="1">
        <v>257.52999999999997</v>
      </c>
      <c r="D39" s="1">
        <v>257.93</v>
      </c>
      <c r="E39" s="1">
        <v>22.15</v>
      </c>
      <c r="F39" s="1">
        <v>21.74</v>
      </c>
      <c r="G39" s="1">
        <v>8.1999999999999993</v>
      </c>
      <c r="H39" s="1">
        <v>8.09</v>
      </c>
      <c r="J39" s="5">
        <f t="shared" si="0"/>
        <v>1.8510158013544026E-2</v>
      </c>
      <c r="K39" s="5">
        <f t="shared" si="1"/>
        <v>1.3414634146341396E-2</v>
      </c>
    </row>
    <row r="40" spans="2:11" x14ac:dyDescent="0.2">
      <c r="B40" s="1">
        <v>16.78</v>
      </c>
      <c r="C40" s="1">
        <v>257</v>
      </c>
      <c r="D40" s="1">
        <v>256.93</v>
      </c>
      <c r="E40" s="1">
        <v>24.15</v>
      </c>
      <c r="F40" s="1">
        <v>23.66</v>
      </c>
      <c r="G40" s="1">
        <v>9.06</v>
      </c>
      <c r="H40" s="1">
        <v>9.06</v>
      </c>
      <c r="J40" s="5">
        <f t="shared" si="0"/>
        <v>2.0289855072463704E-2</v>
      </c>
      <c r="K40" s="5">
        <f t="shared" si="1"/>
        <v>0</v>
      </c>
    </row>
    <row r="41" spans="2:11" x14ac:dyDescent="0.2">
      <c r="B41" s="1">
        <v>22.15</v>
      </c>
      <c r="C41" s="1">
        <v>257.62</v>
      </c>
      <c r="D41" s="1">
        <v>257.98</v>
      </c>
      <c r="E41" s="1">
        <v>26.08</v>
      </c>
      <c r="F41" s="1">
        <v>26.19</v>
      </c>
      <c r="G41" s="1">
        <v>10.1</v>
      </c>
      <c r="H41" s="1">
        <v>10.32</v>
      </c>
      <c r="J41" s="5">
        <f t="shared" si="0"/>
        <v>4.2177914110430592E-3</v>
      </c>
      <c r="K41" s="5">
        <f t="shared" si="1"/>
        <v>2.1782178217821847E-2</v>
      </c>
    </row>
    <row r="42" spans="2:11" x14ac:dyDescent="0.2">
      <c r="B42" s="1">
        <v>27.52</v>
      </c>
      <c r="C42" s="1">
        <v>257.08</v>
      </c>
      <c r="D42" s="1">
        <v>257.36</v>
      </c>
      <c r="E42" s="1">
        <v>28.63</v>
      </c>
      <c r="F42" s="1">
        <v>29.38</v>
      </c>
      <c r="G42" s="1">
        <v>11.55</v>
      </c>
      <c r="H42" s="1">
        <v>11.92</v>
      </c>
      <c r="J42" s="5">
        <f t="shared" si="0"/>
        <v>2.6196297589940621E-2</v>
      </c>
      <c r="K42" s="5">
        <f t="shared" si="1"/>
        <v>3.2034632034631964E-2</v>
      </c>
    </row>
    <row r="43" spans="2:11" x14ac:dyDescent="0.2">
      <c r="B43" s="1">
        <v>32.83</v>
      </c>
      <c r="C43" s="1">
        <v>256.92</v>
      </c>
      <c r="D43" s="1">
        <v>257.08</v>
      </c>
      <c r="E43" s="1">
        <v>32.380000000000003</v>
      </c>
      <c r="F43" s="1">
        <v>33.729999999999997</v>
      </c>
      <c r="G43" s="1">
        <v>13.5</v>
      </c>
      <c r="H43" s="1">
        <v>14.1</v>
      </c>
      <c r="J43" s="5">
        <f t="shared" si="0"/>
        <v>4.1692402717726812E-2</v>
      </c>
      <c r="K43" s="5">
        <f t="shared" si="1"/>
        <v>4.4444444444444418E-2</v>
      </c>
    </row>
    <row r="44" spans="2:11" x14ac:dyDescent="0.2">
      <c r="B44" s="1">
        <v>0.03</v>
      </c>
      <c r="C44" s="1">
        <v>206.45</v>
      </c>
      <c r="D44" s="1">
        <v>4410.2700000000004</v>
      </c>
      <c r="E44" s="1">
        <v>20.87</v>
      </c>
      <c r="F44" s="1">
        <v>18.09</v>
      </c>
      <c r="G44" s="1">
        <v>6.78</v>
      </c>
      <c r="H44" s="1">
        <v>6.92</v>
      </c>
      <c r="J44" s="5">
        <f t="shared" si="0"/>
        <v>0.13320555821753718</v>
      </c>
      <c r="K44" s="5">
        <f t="shared" si="1"/>
        <v>2.064896755162237E-2</v>
      </c>
    </row>
    <row r="45" spans="2:11" x14ac:dyDescent="0.2">
      <c r="B45" s="1">
        <v>0.16</v>
      </c>
      <c r="C45" s="1">
        <v>270.47000000000003</v>
      </c>
      <c r="D45" s="1">
        <v>4193.09</v>
      </c>
      <c r="E45" s="1">
        <v>28.35</v>
      </c>
      <c r="F45" s="1">
        <v>20.65</v>
      </c>
      <c r="G45" s="1">
        <v>7.46</v>
      </c>
      <c r="H45" s="1">
        <v>7.5</v>
      </c>
      <c r="J45" s="5">
        <f t="shared" si="0"/>
        <v>0.27160493827160503</v>
      </c>
      <c r="K45" s="5">
        <f t="shared" si="1"/>
        <v>5.3619302949061707E-3</v>
      </c>
    </row>
    <row r="46" spans="2:11" x14ac:dyDescent="0.2">
      <c r="B46" s="1">
        <v>0.28999999999999998</v>
      </c>
      <c r="C46" s="1">
        <v>255.35</v>
      </c>
      <c r="D46" s="1">
        <v>4024.63</v>
      </c>
      <c r="E46" s="1">
        <v>31.57</v>
      </c>
      <c r="F46" s="1">
        <v>21.43</v>
      </c>
      <c r="G46" s="1">
        <v>8.31</v>
      </c>
      <c r="H46" s="1">
        <v>8.0500000000000007</v>
      </c>
      <c r="J46" s="5">
        <f t="shared" si="0"/>
        <v>0.32119100411783341</v>
      </c>
      <c r="K46" s="5">
        <f t="shared" si="1"/>
        <v>3.1287605294825487E-2</v>
      </c>
    </row>
    <row r="47" spans="2:11" x14ac:dyDescent="0.2">
      <c r="B47" s="1">
        <v>0.41</v>
      </c>
      <c r="C47" s="1">
        <v>270.39999999999998</v>
      </c>
      <c r="D47" s="1">
        <v>4143.72</v>
      </c>
      <c r="E47" s="1">
        <v>31.39</v>
      </c>
      <c r="F47" s="1">
        <v>23.45</v>
      </c>
      <c r="G47" s="1">
        <v>9.1199999999999992</v>
      </c>
      <c r="H47" s="1">
        <v>8.9</v>
      </c>
      <c r="J47" s="5">
        <f t="shared" si="0"/>
        <v>0.25294679834342149</v>
      </c>
      <c r="K47" s="5">
        <f t="shared" si="1"/>
        <v>2.4122807017543737E-2</v>
      </c>
    </row>
    <row r="48" spans="2:11" x14ac:dyDescent="0.2">
      <c r="B48" s="1">
        <v>0.54</v>
      </c>
      <c r="C48" s="1">
        <v>254.6</v>
      </c>
      <c r="D48" s="1">
        <v>4104.17</v>
      </c>
      <c r="E48" s="1">
        <v>32.29</v>
      </c>
      <c r="F48" s="1">
        <v>24.8</v>
      </c>
      <c r="G48" s="1">
        <v>10.119999999999999</v>
      </c>
      <c r="H48" s="1">
        <v>9.74</v>
      </c>
      <c r="J48" s="5">
        <f t="shared" si="0"/>
        <v>0.23196035924434805</v>
      </c>
      <c r="K48" s="5">
        <f t="shared" si="1"/>
        <v>3.7549407114624407E-2</v>
      </c>
    </row>
    <row r="49" spans="2:11" x14ac:dyDescent="0.2">
      <c r="B49" s="1">
        <v>0.65</v>
      </c>
      <c r="C49" s="1">
        <v>257.27999999999997</v>
      </c>
      <c r="D49" s="1">
        <v>4073.98</v>
      </c>
      <c r="E49" s="1">
        <v>34.450000000000003</v>
      </c>
      <c r="F49" s="1">
        <v>26.61</v>
      </c>
      <c r="G49" s="1">
        <v>11.03</v>
      </c>
      <c r="H49" s="1">
        <v>10.62</v>
      </c>
      <c r="J49" s="5">
        <f t="shared" si="0"/>
        <v>0.22757619738751822</v>
      </c>
      <c r="K49" s="5">
        <f t="shared" si="1"/>
        <v>3.7171350861287415E-2</v>
      </c>
    </row>
    <row r="50" spans="2:11" x14ac:dyDescent="0.2">
      <c r="B50" s="1">
        <v>0.75</v>
      </c>
      <c r="C50" s="1">
        <v>263.56</v>
      </c>
      <c r="D50" s="1">
        <v>4037.34</v>
      </c>
      <c r="E50" s="1">
        <v>35.58</v>
      </c>
      <c r="F50" s="1">
        <v>28.57</v>
      </c>
      <c r="G50" s="1">
        <v>12.31</v>
      </c>
      <c r="H50" s="1">
        <v>11.53</v>
      </c>
      <c r="J50" s="5">
        <f t="shared" si="0"/>
        <v>0.19702079820123661</v>
      </c>
      <c r="K50" s="5">
        <f t="shared" si="1"/>
        <v>6.3363119415109762E-2</v>
      </c>
    </row>
    <row r="51" spans="2:11" x14ac:dyDescent="0.2">
      <c r="B51" s="1">
        <v>2.35</v>
      </c>
      <c r="C51" s="1">
        <v>258.2</v>
      </c>
      <c r="D51" s="1">
        <v>63.27</v>
      </c>
      <c r="E51" s="1">
        <v>16.47</v>
      </c>
      <c r="F51" s="1">
        <v>19.07</v>
      </c>
      <c r="G51" s="1">
        <v>6.54</v>
      </c>
      <c r="H51" s="1">
        <v>6.78</v>
      </c>
      <c r="J51" s="5">
        <f t="shared" si="0"/>
        <v>0.15786278081360058</v>
      </c>
      <c r="K51" s="5">
        <f t="shared" si="1"/>
        <v>3.6697247706422048E-2</v>
      </c>
    </row>
    <row r="52" spans="2:11" x14ac:dyDescent="0.2">
      <c r="B52" s="1">
        <v>14.92</v>
      </c>
      <c r="C52" s="1">
        <v>257.37</v>
      </c>
      <c r="D52" s="1">
        <v>64.3</v>
      </c>
      <c r="E52" s="1">
        <v>20</v>
      </c>
      <c r="F52" s="1">
        <v>20.61</v>
      </c>
      <c r="G52" s="1">
        <v>7.28</v>
      </c>
      <c r="H52" s="1">
        <v>7.56</v>
      </c>
      <c r="J52" s="5">
        <f t="shared" si="0"/>
        <v>3.0499999999999972E-2</v>
      </c>
      <c r="K52" s="5">
        <f t="shared" si="1"/>
        <v>3.8461538461538373E-2</v>
      </c>
    </row>
    <row r="53" spans="2:11" x14ac:dyDescent="0.2">
      <c r="B53" s="1">
        <v>27.48</v>
      </c>
      <c r="C53" s="1">
        <v>257.08999999999997</v>
      </c>
      <c r="D53" s="1">
        <v>64.48</v>
      </c>
      <c r="E53" s="1">
        <v>20.71</v>
      </c>
      <c r="F53" s="1">
        <v>22.57</v>
      </c>
      <c r="G53" s="1">
        <v>7.94</v>
      </c>
      <c r="H53" s="1">
        <v>8.5399999999999991</v>
      </c>
      <c r="J53" s="5">
        <f t="shared" si="0"/>
        <v>8.9811685176243328E-2</v>
      </c>
      <c r="K53" s="5">
        <f t="shared" si="1"/>
        <v>7.5566750629722762E-2</v>
      </c>
    </row>
    <row r="54" spans="2:11" x14ac:dyDescent="0.2">
      <c r="B54" s="1">
        <v>40.03</v>
      </c>
      <c r="C54" s="1">
        <v>257.33999999999997</v>
      </c>
      <c r="D54" s="1">
        <v>64.42</v>
      </c>
      <c r="E54" s="1">
        <v>21.51</v>
      </c>
      <c r="F54" s="1">
        <v>25.12</v>
      </c>
      <c r="G54" s="1">
        <v>8.67</v>
      </c>
      <c r="H54" s="1">
        <v>9.82</v>
      </c>
      <c r="J54" s="5">
        <f t="shared" si="0"/>
        <v>0.16782891678289164</v>
      </c>
      <c r="K54" s="5">
        <f t="shared" si="1"/>
        <v>0.13264129181084203</v>
      </c>
    </row>
    <row r="55" spans="2:11" x14ac:dyDescent="0.2">
      <c r="B55" s="1">
        <v>52.58</v>
      </c>
      <c r="C55" s="1">
        <v>257.41000000000003</v>
      </c>
      <c r="D55" s="1">
        <v>64.42</v>
      </c>
      <c r="E55" s="1">
        <v>22.91</v>
      </c>
      <c r="F55" s="1">
        <v>28.55</v>
      </c>
      <c r="G55" s="1">
        <v>9.74</v>
      </c>
      <c r="H55" s="1">
        <v>11.53</v>
      </c>
      <c r="J55" s="5">
        <f t="shared" si="0"/>
        <v>0.24618070711479706</v>
      </c>
      <c r="K55" s="5">
        <f t="shared" si="1"/>
        <v>0.18377823408624222</v>
      </c>
    </row>
    <row r="56" spans="2:11" x14ac:dyDescent="0.2">
      <c r="B56" s="1">
        <v>65.12</v>
      </c>
      <c r="C56" s="1">
        <v>257.01</v>
      </c>
      <c r="D56" s="1">
        <v>64.36</v>
      </c>
      <c r="E56" s="1">
        <v>24.44</v>
      </c>
      <c r="F56" s="1">
        <v>33.33</v>
      </c>
      <c r="G56" s="1">
        <v>11.15</v>
      </c>
      <c r="H56" s="1">
        <v>13.93</v>
      </c>
      <c r="J56" s="5">
        <f t="shared" si="0"/>
        <v>0.36374795417348593</v>
      </c>
      <c r="K56" s="5">
        <f t="shared" si="1"/>
        <v>0.24932735426008962</v>
      </c>
    </row>
    <row r="57" spans="2:11" x14ac:dyDescent="0.2">
      <c r="B57" s="1">
        <v>77.64</v>
      </c>
      <c r="C57" s="1">
        <v>257.18</v>
      </c>
      <c r="D57" s="1">
        <v>64.44</v>
      </c>
      <c r="E57" s="1">
        <v>30.96</v>
      </c>
      <c r="F57" s="1">
        <v>40.729999999999997</v>
      </c>
      <c r="G57" s="1">
        <v>14.23</v>
      </c>
      <c r="H57" s="1">
        <v>17.62</v>
      </c>
      <c r="J57" s="5">
        <f t="shared" si="0"/>
        <v>0.31556847545219624</v>
      </c>
      <c r="K57" s="5">
        <f t="shared" si="1"/>
        <v>0.23822909346451163</v>
      </c>
    </row>
    <row r="58" spans="2:11" x14ac:dyDescent="0.2">
      <c r="B58" s="1">
        <v>0.14000000000000001</v>
      </c>
      <c r="C58" s="1">
        <v>3773.16</v>
      </c>
      <c r="D58" s="1">
        <v>981.76</v>
      </c>
      <c r="E58" s="1">
        <v>103.76</v>
      </c>
      <c r="F58" s="1">
        <v>96.99</v>
      </c>
      <c r="G58" s="1">
        <v>7</v>
      </c>
      <c r="H58" s="1">
        <v>7.38</v>
      </c>
      <c r="J58" s="5">
        <f t="shared" si="0"/>
        <v>6.5246723207401797E-2</v>
      </c>
      <c r="K58" s="5">
        <f t="shared" si="1"/>
        <v>5.428571428571427E-2</v>
      </c>
    </row>
    <row r="59" spans="2:11" x14ac:dyDescent="0.2">
      <c r="B59" s="1">
        <v>0.41</v>
      </c>
      <c r="C59" s="1">
        <v>4153.0600000000004</v>
      </c>
      <c r="D59" s="1">
        <v>1049.78</v>
      </c>
      <c r="E59" s="1">
        <v>124.77</v>
      </c>
      <c r="F59" s="1">
        <v>107.19</v>
      </c>
      <c r="G59" s="1">
        <v>8.02</v>
      </c>
      <c r="H59" s="1">
        <v>8.33</v>
      </c>
      <c r="J59" s="5">
        <f t="shared" si="0"/>
        <v>0.14089925462851646</v>
      </c>
      <c r="K59" s="5">
        <f t="shared" si="1"/>
        <v>3.865336658354121E-2</v>
      </c>
    </row>
    <row r="60" spans="2:11" x14ac:dyDescent="0.2">
      <c r="B60" s="1">
        <v>0.68</v>
      </c>
      <c r="C60" s="1">
        <v>4138.22</v>
      </c>
      <c r="D60" s="1">
        <v>1025.22</v>
      </c>
      <c r="E60" s="1">
        <v>126.89</v>
      </c>
      <c r="F60" s="1">
        <v>108.82</v>
      </c>
      <c r="G60" s="1">
        <v>9.15</v>
      </c>
      <c r="H60" s="1">
        <v>9.31</v>
      </c>
      <c r="J60" s="5">
        <f t="shared" si="0"/>
        <v>0.14240680904720629</v>
      </c>
      <c r="K60" s="5">
        <f t="shared" si="1"/>
        <v>1.7486338797814222E-2</v>
      </c>
    </row>
    <row r="61" spans="2:11" x14ac:dyDescent="0.2">
      <c r="B61" s="1">
        <v>0.94</v>
      </c>
      <c r="C61" s="1">
        <v>4139.04</v>
      </c>
      <c r="D61" s="1">
        <v>1037.73</v>
      </c>
      <c r="E61" s="1">
        <v>125.48</v>
      </c>
      <c r="F61" s="1">
        <v>111.52</v>
      </c>
      <c r="G61" s="1">
        <v>10.47</v>
      </c>
      <c r="H61" s="1">
        <v>10.65</v>
      </c>
      <c r="J61" s="5">
        <f t="shared" si="0"/>
        <v>0.11125278928912981</v>
      </c>
      <c r="K61" s="5">
        <f t="shared" si="1"/>
        <v>1.7191977077363869E-2</v>
      </c>
    </row>
    <row r="62" spans="2:11" x14ac:dyDescent="0.2">
      <c r="B62" s="1">
        <v>1.2</v>
      </c>
      <c r="C62" s="1">
        <v>4030.76</v>
      </c>
      <c r="D62" s="1">
        <v>1005.02</v>
      </c>
      <c r="E62" s="1">
        <v>122.96</v>
      </c>
      <c r="F62" s="1">
        <v>111.76</v>
      </c>
      <c r="G62" s="1">
        <v>11.79</v>
      </c>
      <c r="H62" s="1">
        <v>11.95</v>
      </c>
      <c r="J62" s="5">
        <f t="shared" si="0"/>
        <v>9.1086532205595233E-2</v>
      </c>
      <c r="K62" s="5">
        <f t="shared" si="1"/>
        <v>1.3570822731128088E-2</v>
      </c>
    </row>
    <row r="63" spans="2:11" x14ac:dyDescent="0.2">
      <c r="B63" s="1">
        <v>1.46</v>
      </c>
      <c r="C63" s="1">
        <v>4120.8999999999996</v>
      </c>
      <c r="D63" s="1">
        <v>1033</v>
      </c>
      <c r="E63" s="1">
        <v>131.55000000000001</v>
      </c>
      <c r="F63" s="1">
        <v>119</v>
      </c>
      <c r="G63" s="1">
        <v>14.2</v>
      </c>
      <c r="H63" s="1">
        <v>14.59</v>
      </c>
      <c r="J63" s="5">
        <f t="shared" si="0"/>
        <v>9.5400988217407903E-2</v>
      </c>
      <c r="K63" s="5">
        <f t="shared" si="1"/>
        <v>2.7464788732394406E-2</v>
      </c>
    </row>
    <row r="64" spans="2:11" x14ac:dyDescent="0.2">
      <c r="B64" s="1">
        <v>1.7</v>
      </c>
      <c r="C64" s="1">
        <v>4104.12</v>
      </c>
      <c r="D64" s="1">
        <v>1010.26</v>
      </c>
      <c r="E64" s="1">
        <v>131.68</v>
      </c>
      <c r="F64" s="1">
        <v>123.7</v>
      </c>
      <c r="G64" s="1">
        <v>16.46</v>
      </c>
      <c r="H64" s="1">
        <v>17.12</v>
      </c>
      <c r="J64" s="5">
        <f t="shared" si="0"/>
        <v>6.0601458080194438E-2</v>
      </c>
      <c r="K64" s="5">
        <f t="shared" si="1"/>
        <v>4.0097205346294053E-2</v>
      </c>
    </row>
    <row r="65" spans="2:11" x14ac:dyDescent="0.2">
      <c r="B65" s="1">
        <v>0.54</v>
      </c>
      <c r="C65" s="1">
        <v>4001.26</v>
      </c>
      <c r="D65" s="1">
        <v>251.6</v>
      </c>
      <c r="E65" s="1">
        <v>108.65</v>
      </c>
      <c r="F65" s="1">
        <v>102.89</v>
      </c>
      <c r="G65" s="1">
        <v>6.89</v>
      </c>
      <c r="H65" s="1">
        <v>7.95</v>
      </c>
      <c r="J65" s="5">
        <f t="shared" si="0"/>
        <v>5.3014265991716568E-2</v>
      </c>
      <c r="K65" s="5">
        <f t="shared" si="1"/>
        <v>0.15384615384615394</v>
      </c>
    </row>
    <row r="66" spans="2:11" x14ac:dyDescent="0.2">
      <c r="B66" s="1">
        <v>1.18</v>
      </c>
      <c r="C66" s="1">
        <v>4084.83</v>
      </c>
      <c r="D66" s="1">
        <v>261.47000000000003</v>
      </c>
      <c r="E66" s="1">
        <v>117.85</v>
      </c>
      <c r="F66" s="1">
        <v>106.69</v>
      </c>
      <c r="G66" s="1">
        <v>8.02</v>
      </c>
      <c r="H66" s="1">
        <v>8.93</v>
      </c>
      <c r="J66" s="5">
        <f t="shared" si="0"/>
        <v>9.4696648281714021E-2</v>
      </c>
      <c r="K66" s="5">
        <f t="shared" si="1"/>
        <v>0.11346633416458855</v>
      </c>
    </row>
    <row r="67" spans="2:11" x14ac:dyDescent="0.2">
      <c r="B67" s="1">
        <v>1.81</v>
      </c>
      <c r="C67" s="1">
        <v>4122.1400000000003</v>
      </c>
      <c r="D67" s="1">
        <v>253.22</v>
      </c>
      <c r="E67" s="1">
        <v>117.78</v>
      </c>
      <c r="F67" s="1">
        <v>109.93</v>
      </c>
      <c r="G67" s="1">
        <v>9.2200000000000006</v>
      </c>
      <c r="H67" s="1">
        <v>10.15</v>
      </c>
      <c r="J67" s="5">
        <f t="shared" ref="J67:J113" si="2">ABS(E67-F67)/E67</f>
        <v>6.664968585498382E-2</v>
      </c>
      <c r="K67" s="5">
        <f t="shared" ref="K67:K113" si="3">ABS(G67-H67)/G67</f>
        <v>0.10086767895878521</v>
      </c>
    </row>
    <row r="68" spans="2:11" x14ac:dyDescent="0.2">
      <c r="B68" s="1">
        <v>2.44</v>
      </c>
      <c r="C68" s="1">
        <v>4054.31</v>
      </c>
      <c r="D68" s="1">
        <v>260.10000000000002</v>
      </c>
      <c r="E68" s="1">
        <v>115.73</v>
      </c>
      <c r="F68" s="1">
        <v>111.45</v>
      </c>
      <c r="G68" s="1">
        <v>10.84</v>
      </c>
      <c r="H68" s="1">
        <v>11.65</v>
      </c>
      <c r="J68" s="5">
        <f t="shared" si="2"/>
        <v>3.698263198824852E-2</v>
      </c>
      <c r="K68" s="5">
        <f t="shared" si="3"/>
        <v>7.4723247232472367E-2</v>
      </c>
    </row>
    <row r="69" spans="2:11" x14ac:dyDescent="0.2">
      <c r="B69" s="1">
        <v>3.07</v>
      </c>
      <c r="C69" s="1">
        <v>4144.6000000000004</v>
      </c>
      <c r="D69" s="1">
        <v>257.26</v>
      </c>
      <c r="E69" s="1">
        <v>122.88</v>
      </c>
      <c r="F69" s="1">
        <v>118.03</v>
      </c>
      <c r="G69" s="1">
        <v>12.81</v>
      </c>
      <c r="H69" s="1">
        <v>13.96</v>
      </c>
      <c r="J69" s="5">
        <f t="shared" si="2"/>
        <v>3.9469401041666623E-2</v>
      </c>
      <c r="K69" s="5">
        <f t="shared" si="3"/>
        <v>8.9773614363778328E-2</v>
      </c>
    </row>
    <row r="70" spans="2:11" x14ac:dyDescent="0.2">
      <c r="B70" s="1">
        <v>3.7</v>
      </c>
      <c r="C70" s="1">
        <v>4142.4399999999996</v>
      </c>
      <c r="D70" s="1">
        <v>259.57</v>
      </c>
      <c r="E70" s="1">
        <v>124.24</v>
      </c>
      <c r="F70" s="1">
        <v>124.18</v>
      </c>
      <c r="G70" s="1">
        <v>15.51</v>
      </c>
      <c r="H70" s="1">
        <v>17.059999999999999</v>
      </c>
      <c r="J70" s="5">
        <f t="shared" si="2"/>
        <v>4.8293625241458522E-4</v>
      </c>
      <c r="K70" s="5">
        <f t="shared" si="3"/>
        <v>9.9935525467440292E-2</v>
      </c>
    </row>
    <row r="71" spans="2:11" x14ac:dyDescent="0.2">
      <c r="B71" s="1">
        <v>4.3099999999999996</v>
      </c>
      <c r="C71" s="1">
        <v>4090.19</v>
      </c>
      <c r="D71" s="1">
        <v>255.14</v>
      </c>
      <c r="E71" s="1">
        <v>124.11</v>
      </c>
      <c r="F71" s="1">
        <v>130.94</v>
      </c>
      <c r="G71" s="1">
        <v>19.16</v>
      </c>
      <c r="H71" s="1">
        <v>21.01</v>
      </c>
      <c r="J71" s="5">
        <f t="shared" si="2"/>
        <v>5.5031826605430656E-2</v>
      </c>
      <c r="K71" s="5">
        <f t="shared" si="3"/>
        <v>9.6555323590814271E-2</v>
      </c>
    </row>
    <row r="72" spans="2:11" x14ac:dyDescent="0.2">
      <c r="B72" s="1">
        <v>0.03</v>
      </c>
      <c r="C72" s="1">
        <v>3308.45</v>
      </c>
      <c r="D72" s="1">
        <v>4410.2700000000004</v>
      </c>
      <c r="E72" s="1">
        <v>89.55</v>
      </c>
      <c r="F72" s="1">
        <v>86.85</v>
      </c>
      <c r="G72" s="1">
        <v>6.95</v>
      </c>
      <c r="H72" s="1">
        <v>7.43</v>
      </c>
      <c r="J72" s="5">
        <f t="shared" si="2"/>
        <v>3.0150753768844255E-2</v>
      </c>
      <c r="K72" s="5">
        <f t="shared" si="3"/>
        <v>6.9064748201438778E-2</v>
      </c>
    </row>
    <row r="73" spans="2:11" x14ac:dyDescent="0.2">
      <c r="B73" s="1">
        <v>0.08</v>
      </c>
      <c r="C73" s="1">
        <v>4153.93</v>
      </c>
      <c r="D73" s="1">
        <v>3972.52</v>
      </c>
      <c r="E73" s="1">
        <v>125.61</v>
      </c>
      <c r="F73" s="1">
        <v>106.68</v>
      </c>
      <c r="G73" s="1">
        <v>7.63</v>
      </c>
      <c r="H73" s="1">
        <v>8.11</v>
      </c>
      <c r="J73" s="5">
        <f t="shared" si="2"/>
        <v>0.15070456173871502</v>
      </c>
      <c r="K73" s="5">
        <f t="shared" si="3"/>
        <v>6.2909567496723398E-2</v>
      </c>
    </row>
    <row r="74" spans="2:11" x14ac:dyDescent="0.2">
      <c r="B74" s="1">
        <v>0.14000000000000001</v>
      </c>
      <c r="C74" s="1">
        <v>4023.51</v>
      </c>
      <c r="D74" s="1">
        <v>4058.55</v>
      </c>
      <c r="E74" s="1">
        <v>117.35</v>
      </c>
      <c r="F74" s="1">
        <v>105.39</v>
      </c>
      <c r="G74" s="1">
        <v>8.44</v>
      </c>
      <c r="H74" s="1">
        <v>8.89</v>
      </c>
      <c r="J74" s="5">
        <f t="shared" si="2"/>
        <v>0.10191734128674899</v>
      </c>
      <c r="K74" s="5">
        <f t="shared" si="3"/>
        <v>5.3317535545023824E-2</v>
      </c>
    </row>
    <row r="75" spans="2:11" x14ac:dyDescent="0.2">
      <c r="B75" s="1">
        <v>0.18</v>
      </c>
      <c r="C75" s="1">
        <v>4346.92</v>
      </c>
      <c r="D75" s="1">
        <v>3997.56</v>
      </c>
      <c r="E75" s="1">
        <v>132.02000000000001</v>
      </c>
      <c r="F75" s="1">
        <v>114.22</v>
      </c>
      <c r="G75" s="1">
        <v>9.5</v>
      </c>
      <c r="H75" s="1">
        <v>9.77</v>
      </c>
      <c r="J75" s="5">
        <f t="shared" si="2"/>
        <v>0.13482805635509779</v>
      </c>
      <c r="K75" s="5">
        <f t="shared" si="3"/>
        <v>2.8421052631578902E-2</v>
      </c>
    </row>
    <row r="76" spans="2:11" x14ac:dyDescent="0.2">
      <c r="B76" s="1">
        <v>0.23</v>
      </c>
      <c r="C76" s="1">
        <v>4260.18</v>
      </c>
      <c r="D76" s="1">
        <v>4306.0200000000004</v>
      </c>
      <c r="E76" s="1">
        <v>136.13</v>
      </c>
      <c r="F76" s="1">
        <v>115.4</v>
      </c>
      <c r="G76" s="1">
        <v>11.01</v>
      </c>
      <c r="H76" s="1">
        <v>11.32</v>
      </c>
      <c r="J76" s="5">
        <f t="shared" si="2"/>
        <v>0.15228090795563057</v>
      </c>
      <c r="K76" s="5">
        <f t="shared" si="3"/>
        <v>2.8156221616712124E-2</v>
      </c>
    </row>
    <row r="77" spans="2:11" x14ac:dyDescent="0.2">
      <c r="B77" s="1">
        <v>0.28000000000000003</v>
      </c>
      <c r="C77" s="1">
        <v>4130.4399999999996</v>
      </c>
      <c r="D77" s="1">
        <v>4040.95</v>
      </c>
      <c r="E77" s="1">
        <v>129.25</v>
      </c>
      <c r="F77" s="1">
        <v>113.55</v>
      </c>
      <c r="G77" s="1">
        <v>11.61</v>
      </c>
      <c r="H77" s="1">
        <v>11.8</v>
      </c>
      <c r="J77" s="5">
        <f t="shared" si="2"/>
        <v>0.12147001934235979</v>
      </c>
      <c r="K77" s="5">
        <f t="shared" si="3"/>
        <v>1.6365202411714151E-2</v>
      </c>
    </row>
    <row r="78" spans="2:11" x14ac:dyDescent="0.2">
      <c r="B78" s="1">
        <v>0.33</v>
      </c>
      <c r="C78" s="1">
        <v>4067.53</v>
      </c>
      <c r="D78" s="1">
        <v>4103.18</v>
      </c>
      <c r="E78" s="1">
        <v>128.41</v>
      </c>
      <c r="F78" s="1">
        <v>115.3</v>
      </c>
      <c r="G78" s="1">
        <v>13.36</v>
      </c>
      <c r="H78" s="1">
        <v>13.36</v>
      </c>
      <c r="J78" s="5">
        <f t="shared" si="2"/>
        <v>0.10209485242582353</v>
      </c>
      <c r="K78" s="5">
        <f t="shared" si="3"/>
        <v>0</v>
      </c>
    </row>
    <row r="79" spans="2:11" x14ac:dyDescent="0.2">
      <c r="B79" s="1">
        <v>1.85</v>
      </c>
      <c r="C79" s="1">
        <v>4096.6000000000004</v>
      </c>
      <c r="D79" s="1">
        <v>63.54</v>
      </c>
      <c r="E79" s="1">
        <v>109.37</v>
      </c>
      <c r="F79" s="1">
        <v>109.37</v>
      </c>
      <c r="G79" s="1">
        <v>6.89</v>
      </c>
      <c r="H79" s="1">
        <v>10.68</v>
      </c>
      <c r="J79" s="5">
        <f t="shared" si="2"/>
        <v>0</v>
      </c>
      <c r="K79" s="5">
        <f t="shared" si="3"/>
        <v>0.5500725689404935</v>
      </c>
    </row>
    <row r="80" spans="2:11" x14ac:dyDescent="0.2">
      <c r="B80" s="1">
        <v>2.66</v>
      </c>
      <c r="C80" s="1">
        <v>4104.5</v>
      </c>
      <c r="D80" s="1">
        <v>64.17</v>
      </c>
      <c r="E80" s="1">
        <v>114.22</v>
      </c>
      <c r="F80" s="1">
        <v>112.38</v>
      </c>
      <c r="G80" s="1">
        <v>8.67</v>
      </c>
      <c r="H80" s="1">
        <v>12.09</v>
      </c>
      <c r="J80" s="5">
        <f t="shared" si="2"/>
        <v>1.6109262826125053E-2</v>
      </c>
      <c r="K80" s="5">
        <f t="shared" si="3"/>
        <v>0.3944636678200692</v>
      </c>
    </row>
    <row r="81" spans="2:11" x14ac:dyDescent="0.2">
      <c r="B81" s="1">
        <v>3.47</v>
      </c>
      <c r="C81" s="1">
        <v>4159.88</v>
      </c>
      <c r="D81" s="1">
        <v>64.72</v>
      </c>
      <c r="E81" s="1">
        <v>117.26</v>
      </c>
      <c r="F81" s="1">
        <v>117.49</v>
      </c>
      <c r="G81" s="1">
        <v>10.029999999999999</v>
      </c>
      <c r="H81" s="1">
        <v>14.04</v>
      </c>
      <c r="J81" s="5">
        <f t="shared" si="2"/>
        <v>1.9614531809652889E-3</v>
      </c>
      <c r="K81" s="5">
        <f t="shared" si="3"/>
        <v>0.39980059820538383</v>
      </c>
    </row>
    <row r="82" spans="2:11" x14ac:dyDescent="0.2">
      <c r="B82" s="1">
        <v>4.29</v>
      </c>
      <c r="C82" s="1">
        <v>4091.45</v>
      </c>
      <c r="D82" s="1">
        <v>64.53</v>
      </c>
      <c r="E82" s="1">
        <v>114.67</v>
      </c>
      <c r="F82" s="1">
        <v>120.29</v>
      </c>
      <c r="G82" s="1">
        <v>11.7</v>
      </c>
      <c r="H82" s="1">
        <v>16.18</v>
      </c>
      <c r="J82" s="5">
        <f t="shared" si="2"/>
        <v>4.9010203191767722E-2</v>
      </c>
      <c r="K82" s="5">
        <f t="shared" si="3"/>
        <v>0.38290598290598299</v>
      </c>
    </row>
    <row r="83" spans="2:11" x14ac:dyDescent="0.2">
      <c r="B83" s="1">
        <v>5.0999999999999996</v>
      </c>
      <c r="C83" s="1">
        <v>4082.93</v>
      </c>
      <c r="D83" s="1">
        <v>64.25</v>
      </c>
      <c r="E83" s="1">
        <v>113.81</v>
      </c>
      <c r="F83" s="1">
        <v>126.37</v>
      </c>
      <c r="G83" s="1">
        <v>14.12</v>
      </c>
      <c r="H83" s="1">
        <v>19.309999999999999</v>
      </c>
      <c r="J83" s="5">
        <f t="shared" si="2"/>
        <v>0.1103593708812934</v>
      </c>
      <c r="K83" s="5">
        <f t="shared" si="3"/>
        <v>0.3675637393767705</v>
      </c>
    </row>
    <row r="84" spans="2:11" x14ac:dyDescent="0.2">
      <c r="B84" s="1">
        <v>5.9</v>
      </c>
      <c r="C84" s="1">
        <v>4170.0600000000004</v>
      </c>
      <c r="D84" s="1">
        <v>64.72</v>
      </c>
      <c r="E84" s="1">
        <v>120.3</v>
      </c>
      <c r="F84" s="1">
        <v>139.19</v>
      </c>
      <c r="G84" s="1">
        <v>18.63</v>
      </c>
      <c r="H84" s="1">
        <v>24.78</v>
      </c>
      <c r="J84" s="5">
        <f t="shared" si="2"/>
        <v>0.15702410640066503</v>
      </c>
      <c r="K84" s="5">
        <f t="shared" si="3"/>
        <v>0.33011272141706938</v>
      </c>
    </row>
    <row r="85" spans="2:11" x14ac:dyDescent="0.2">
      <c r="B85" s="1">
        <v>6.71</v>
      </c>
      <c r="C85" s="1">
        <v>4081.74</v>
      </c>
      <c r="D85" s="1">
        <v>64.23</v>
      </c>
      <c r="E85" s="1">
        <v>118.84</v>
      </c>
      <c r="F85" s="1">
        <v>149.18</v>
      </c>
      <c r="G85" s="1">
        <v>23.89</v>
      </c>
      <c r="H85" s="1">
        <v>30.74</v>
      </c>
      <c r="J85" s="5">
        <f t="shared" si="2"/>
        <v>0.25530124537192866</v>
      </c>
      <c r="K85" s="5">
        <f t="shared" si="3"/>
        <v>0.28673084972791951</v>
      </c>
    </row>
    <row r="86" spans="2:11" x14ac:dyDescent="0.2">
      <c r="B86" s="1">
        <v>0.15</v>
      </c>
      <c r="C86" s="1">
        <v>59.42</v>
      </c>
      <c r="D86" s="1">
        <v>975.5</v>
      </c>
      <c r="E86" s="1">
        <v>14.84</v>
      </c>
      <c r="F86" s="1">
        <v>14.48</v>
      </c>
      <c r="G86" s="1">
        <v>7</v>
      </c>
      <c r="H86" s="1">
        <v>6.64</v>
      </c>
      <c r="J86" s="5">
        <f t="shared" si="2"/>
        <v>2.4258760107816673E-2</v>
      </c>
      <c r="K86" s="5">
        <f t="shared" si="3"/>
        <v>5.1428571428571476E-2</v>
      </c>
    </row>
    <row r="87" spans="2:11" x14ac:dyDescent="0.2">
      <c r="B87" s="1">
        <v>1.65</v>
      </c>
      <c r="C87" s="1">
        <v>65.42</v>
      </c>
      <c r="D87" s="1">
        <v>1018.06</v>
      </c>
      <c r="E87" s="1">
        <v>21.56</v>
      </c>
      <c r="F87" s="1">
        <v>15.78</v>
      </c>
      <c r="G87" s="1">
        <v>7.81</v>
      </c>
      <c r="H87" s="1">
        <v>7.22</v>
      </c>
      <c r="J87" s="5">
        <f t="shared" si="2"/>
        <v>0.26808905380333953</v>
      </c>
      <c r="K87" s="5">
        <f t="shared" si="3"/>
        <v>7.554417413572341E-2</v>
      </c>
    </row>
    <row r="88" spans="2:11" x14ac:dyDescent="0.2">
      <c r="B88" s="1">
        <v>3.15</v>
      </c>
      <c r="C88" s="1">
        <v>65.099999999999994</v>
      </c>
      <c r="D88" s="1">
        <v>1040.9000000000001</v>
      </c>
      <c r="E88" s="1">
        <v>21.69</v>
      </c>
      <c r="F88" s="1">
        <v>17.25</v>
      </c>
      <c r="G88" s="1">
        <v>8.57</v>
      </c>
      <c r="H88" s="1">
        <v>7.96</v>
      </c>
      <c r="J88" s="5">
        <f t="shared" si="2"/>
        <v>0.20470262793914251</v>
      </c>
      <c r="K88" s="5">
        <f t="shared" si="3"/>
        <v>7.1178529754959197E-2</v>
      </c>
    </row>
    <row r="89" spans="2:11" x14ac:dyDescent="0.2">
      <c r="B89" s="1">
        <v>4.63</v>
      </c>
      <c r="C89" s="1">
        <v>64.02</v>
      </c>
      <c r="D89" s="1">
        <v>1026.68</v>
      </c>
      <c r="E89" s="1">
        <v>23.24</v>
      </c>
      <c r="F89" s="1">
        <v>18.82</v>
      </c>
      <c r="G89" s="1">
        <v>9.35</v>
      </c>
      <c r="H89" s="1">
        <v>8.76</v>
      </c>
      <c r="J89" s="5">
        <f t="shared" si="2"/>
        <v>0.19018932874354555</v>
      </c>
      <c r="K89" s="5">
        <f t="shared" si="3"/>
        <v>6.310160427807486E-2</v>
      </c>
    </row>
    <row r="90" spans="2:11" x14ac:dyDescent="0.2">
      <c r="B90" s="1">
        <v>6.1</v>
      </c>
      <c r="C90" s="1">
        <v>64.45</v>
      </c>
      <c r="D90" s="1">
        <v>1022.43</v>
      </c>
      <c r="E90" s="1">
        <v>25.56</v>
      </c>
      <c r="F90" s="1">
        <v>20.81</v>
      </c>
      <c r="G90" s="1">
        <v>10.38</v>
      </c>
      <c r="H90" s="1">
        <v>9.75</v>
      </c>
      <c r="J90" s="5">
        <f t="shared" si="2"/>
        <v>0.18583724569640064</v>
      </c>
      <c r="K90" s="5">
        <f t="shared" si="3"/>
        <v>6.0693641618497184E-2</v>
      </c>
    </row>
    <row r="91" spans="2:11" x14ac:dyDescent="0.2">
      <c r="B91" s="1">
        <v>7.58</v>
      </c>
      <c r="C91" s="1">
        <v>64.42</v>
      </c>
      <c r="D91" s="1">
        <v>1028.75</v>
      </c>
      <c r="E91" s="1">
        <v>28.51</v>
      </c>
      <c r="F91" s="1">
        <v>23.49</v>
      </c>
      <c r="G91" s="1">
        <v>11.67</v>
      </c>
      <c r="H91" s="1">
        <v>11.09</v>
      </c>
      <c r="J91" s="5">
        <f t="shared" si="2"/>
        <v>0.17607856892318494</v>
      </c>
      <c r="K91" s="5">
        <f t="shared" si="3"/>
        <v>4.9700085689802921E-2</v>
      </c>
    </row>
    <row r="92" spans="2:11" x14ac:dyDescent="0.2">
      <c r="B92" s="1">
        <v>9.02</v>
      </c>
      <c r="C92" s="1">
        <v>64.81</v>
      </c>
      <c r="D92" s="1">
        <v>1029.8599999999999</v>
      </c>
      <c r="E92" s="1">
        <v>32.89</v>
      </c>
      <c r="F92" s="1">
        <v>26.85</v>
      </c>
      <c r="G92" s="1">
        <v>13.31</v>
      </c>
      <c r="H92" s="1">
        <v>12.76</v>
      </c>
      <c r="J92" s="5">
        <f t="shared" si="2"/>
        <v>0.1836424445120097</v>
      </c>
      <c r="K92" s="5">
        <f t="shared" si="3"/>
        <v>4.1322314049586827E-2</v>
      </c>
    </row>
    <row r="93" spans="2:11" x14ac:dyDescent="0.2">
      <c r="B93" s="1">
        <v>0.6</v>
      </c>
      <c r="C93" s="1">
        <v>62.95</v>
      </c>
      <c r="D93" s="1">
        <v>253.69</v>
      </c>
      <c r="E93" s="1">
        <v>14.96</v>
      </c>
      <c r="F93" s="1">
        <v>14.51</v>
      </c>
      <c r="G93" s="1">
        <v>6.57</v>
      </c>
      <c r="H93" s="1">
        <v>6.6</v>
      </c>
      <c r="J93" s="5">
        <f t="shared" si="2"/>
        <v>3.0080213903743384E-2</v>
      </c>
      <c r="K93" s="5">
        <f t="shared" si="3"/>
        <v>4.5662100456620031E-3</v>
      </c>
    </row>
    <row r="94" spans="2:11" x14ac:dyDescent="0.2">
      <c r="B94" s="1">
        <v>8.1199999999999992</v>
      </c>
      <c r="C94" s="1">
        <v>64.45</v>
      </c>
      <c r="D94" s="1">
        <v>256.89</v>
      </c>
      <c r="E94" s="1">
        <v>18.420000000000002</v>
      </c>
      <c r="F94" s="1">
        <v>15.57</v>
      </c>
      <c r="G94" s="1">
        <v>7.27</v>
      </c>
      <c r="H94" s="1">
        <v>7.11</v>
      </c>
      <c r="J94" s="5">
        <f t="shared" si="2"/>
        <v>0.15472312703583069</v>
      </c>
      <c r="K94" s="5">
        <f t="shared" si="3"/>
        <v>2.2008253094910491E-2</v>
      </c>
    </row>
    <row r="95" spans="2:11" x14ac:dyDescent="0.2">
      <c r="B95" s="1">
        <v>15.64</v>
      </c>
      <c r="C95" s="1">
        <v>64.599999999999994</v>
      </c>
      <c r="D95" s="1">
        <v>257.86</v>
      </c>
      <c r="E95" s="1">
        <v>19.440000000000001</v>
      </c>
      <c r="F95" s="1">
        <v>16.77</v>
      </c>
      <c r="G95" s="1">
        <v>7.72</v>
      </c>
      <c r="H95" s="1">
        <v>7.71</v>
      </c>
      <c r="J95" s="5">
        <f t="shared" si="2"/>
        <v>0.13734567901234576</v>
      </c>
      <c r="K95" s="5">
        <f t="shared" si="3"/>
        <v>1.2953367875647393E-3</v>
      </c>
    </row>
    <row r="96" spans="2:11" x14ac:dyDescent="0.2">
      <c r="B96" s="1">
        <v>23.16</v>
      </c>
      <c r="C96" s="1">
        <v>64.400000000000006</v>
      </c>
      <c r="D96" s="1">
        <v>257.44</v>
      </c>
      <c r="E96" s="1">
        <v>21.13</v>
      </c>
      <c r="F96" s="1">
        <v>18.18</v>
      </c>
      <c r="G96" s="1">
        <v>8.4600000000000009</v>
      </c>
      <c r="H96" s="1">
        <v>8.42</v>
      </c>
      <c r="J96" s="5">
        <f t="shared" si="2"/>
        <v>0.13961192617132037</v>
      </c>
      <c r="K96" s="5">
        <f t="shared" si="3"/>
        <v>4.7281323877069641E-3</v>
      </c>
    </row>
    <row r="97" spans="2:11" x14ac:dyDescent="0.2">
      <c r="B97" s="1">
        <v>30.63</v>
      </c>
      <c r="C97" s="1">
        <v>64.56</v>
      </c>
      <c r="D97" s="1">
        <v>257.29000000000002</v>
      </c>
      <c r="E97" s="1">
        <v>23.4</v>
      </c>
      <c r="F97" s="1">
        <v>19.88</v>
      </c>
      <c r="G97" s="1">
        <v>9.43</v>
      </c>
      <c r="H97" s="1">
        <v>9.26</v>
      </c>
      <c r="J97" s="5">
        <f t="shared" si="2"/>
        <v>0.15042735042735042</v>
      </c>
      <c r="K97" s="5">
        <f t="shared" si="3"/>
        <v>1.8027571580063621E-2</v>
      </c>
    </row>
    <row r="98" spans="2:11" x14ac:dyDescent="0.2">
      <c r="B98" s="1">
        <v>38.130000000000003</v>
      </c>
      <c r="C98" s="1">
        <v>64.510000000000005</v>
      </c>
      <c r="D98" s="1">
        <v>257.52</v>
      </c>
      <c r="E98" s="1">
        <v>26.33</v>
      </c>
      <c r="F98" s="1">
        <v>21.96</v>
      </c>
      <c r="G98" s="1">
        <v>10.66</v>
      </c>
      <c r="H98" s="1">
        <v>10.31</v>
      </c>
      <c r="J98" s="5">
        <f t="shared" si="2"/>
        <v>0.16597037599696154</v>
      </c>
      <c r="K98" s="5">
        <f t="shared" si="3"/>
        <v>3.2833020637898655E-2</v>
      </c>
    </row>
    <row r="99" spans="2:11" x14ac:dyDescent="0.2">
      <c r="B99" s="1">
        <v>45.55</v>
      </c>
      <c r="C99" s="1">
        <v>64.55</v>
      </c>
      <c r="D99" s="1">
        <v>257.39</v>
      </c>
      <c r="E99" s="1">
        <v>31.27</v>
      </c>
      <c r="F99" s="1">
        <v>24.53</v>
      </c>
      <c r="G99" s="1">
        <v>12.45</v>
      </c>
      <c r="H99" s="1">
        <v>11.59</v>
      </c>
      <c r="J99" s="5">
        <f t="shared" si="2"/>
        <v>0.21554205308602489</v>
      </c>
      <c r="K99" s="5">
        <f t="shared" si="3"/>
        <v>6.9076305220883497E-2</v>
      </c>
    </row>
    <row r="100" spans="2:11" x14ac:dyDescent="0.2">
      <c r="B100" s="1">
        <v>0.03</v>
      </c>
      <c r="C100" s="1">
        <v>51.45</v>
      </c>
      <c r="D100" s="1">
        <v>4410.2700000000004</v>
      </c>
      <c r="E100" s="1">
        <v>18.87</v>
      </c>
      <c r="F100" s="1">
        <v>14.66</v>
      </c>
      <c r="G100" s="1">
        <v>6.68</v>
      </c>
      <c r="H100" s="1">
        <v>6.9</v>
      </c>
      <c r="J100" s="5">
        <f t="shared" si="2"/>
        <v>0.22310545839957607</v>
      </c>
      <c r="K100" s="5">
        <f t="shared" si="3"/>
        <v>3.2934131736527046E-2</v>
      </c>
    </row>
    <row r="101" spans="2:11" x14ac:dyDescent="0.2">
      <c r="B101" s="1">
        <v>0.17</v>
      </c>
      <c r="C101" s="1">
        <v>65.58</v>
      </c>
      <c r="D101" s="1">
        <v>3997.07</v>
      </c>
      <c r="E101" s="1">
        <v>26.51</v>
      </c>
      <c r="F101" s="1">
        <v>15.93</v>
      </c>
      <c r="G101" s="1">
        <v>7.35</v>
      </c>
      <c r="H101" s="1">
        <v>7.37</v>
      </c>
      <c r="J101" s="5">
        <f t="shared" si="2"/>
        <v>0.39909468125235764</v>
      </c>
      <c r="K101" s="5">
        <f t="shared" si="3"/>
        <v>2.7210884353742128E-3</v>
      </c>
    </row>
    <row r="102" spans="2:11" x14ac:dyDescent="0.2">
      <c r="B102" s="1">
        <v>0.31</v>
      </c>
      <c r="C102" s="1">
        <v>64.290000000000006</v>
      </c>
      <c r="D102" s="1">
        <v>4057.06</v>
      </c>
      <c r="E102" s="1">
        <v>27.21</v>
      </c>
      <c r="F102" s="1">
        <v>17.2</v>
      </c>
      <c r="G102" s="1">
        <v>8.24</v>
      </c>
      <c r="H102" s="1">
        <v>8.02</v>
      </c>
      <c r="J102" s="5">
        <f t="shared" si="2"/>
        <v>0.3678794560823227</v>
      </c>
      <c r="K102" s="5">
        <f t="shared" si="3"/>
        <v>2.6699029126213671E-2</v>
      </c>
    </row>
    <row r="103" spans="2:11" x14ac:dyDescent="0.2">
      <c r="B103" s="1">
        <v>0.46</v>
      </c>
      <c r="C103" s="1">
        <v>66.22</v>
      </c>
      <c r="D103" s="1">
        <v>4195.5200000000004</v>
      </c>
      <c r="E103" s="1">
        <v>30.93</v>
      </c>
      <c r="F103" s="1">
        <v>19.13</v>
      </c>
      <c r="G103" s="1">
        <v>9.19</v>
      </c>
      <c r="H103" s="1">
        <v>8.9700000000000006</v>
      </c>
      <c r="J103" s="5">
        <f t="shared" si="2"/>
        <v>0.3815066278693825</v>
      </c>
      <c r="K103" s="5">
        <f t="shared" si="3"/>
        <v>2.3939064200217505E-2</v>
      </c>
    </row>
    <row r="104" spans="2:11" x14ac:dyDescent="0.2">
      <c r="B104" s="1">
        <v>0.57999999999999996</v>
      </c>
      <c r="C104" s="1">
        <v>64.88</v>
      </c>
      <c r="D104" s="1">
        <v>4214.8999999999996</v>
      </c>
      <c r="E104" s="1">
        <v>31.81</v>
      </c>
      <c r="F104" s="1">
        <v>20.96</v>
      </c>
      <c r="G104" s="1">
        <v>10.33</v>
      </c>
      <c r="H104" s="1">
        <v>9.9</v>
      </c>
      <c r="J104" s="5">
        <f t="shared" si="2"/>
        <v>0.34108770826784024</v>
      </c>
      <c r="K104" s="5">
        <f t="shared" si="3"/>
        <v>4.1626331074540147E-2</v>
      </c>
    </row>
    <row r="105" spans="2:11" x14ac:dyDescent="0.2">
      <c r="B105" s="1">
        <v>0.7</v>
      </c>
      <c r="C105" s="1">
        <v>64.849999999999994</v>
      </c>
      <c r="D105" s="1">
        <v>4017.51</v>
      </c>
      <c r="E105" s="1">
        <v>32</v>
      </c>
      <c r="F105" s="1">
        <v>21.91</v>
      </c>
      <c r="G105" s="1">
        <v>11.07</v>
      </c>
      <c r="H105" s="1">
        <v>10.37</v>
      </c>
      <c r="J105" s="5">
        <f t="shared" si="2"/>
        <v>0.3153125</v>
      </c>
      <c r="K105" s="5">
        <f t="shared" si="3"/>
        <v>6.3233965672990153E-2</v>
      </c>
    </row>
    <row r="106" spans="2:11" x14ac:dyDescent="0.2">
      <c r="B106" s="1">
        <v>0.81</v>
      </c>
      <c r="C106" s="1">
        <v>64.45</v>
      </c>
      <c r="D106" s="1">
        <v>4110.2299999999996</v>
      </c>
      <c r="E106" s="1">
        <v>34.29</v>
      </c>
      <c r="F106" s="1">
        <v>24.55</v>
      </c>
      <c r="G106" s="1">
        <v>12.69</v>
      </c>
      <c r="H106" s="1">
        <v>11.7</v>
      </c>
      <c r="J106" s="5">
        <f t="shared" si="2"/>
        <v>0.28404782735491391</v>
      </c>
      <c r="K106" s="5">
        <f t="shared" si="3"/>
        <v>7.8014184397163136E-2</v>
      </c>
    </row>
    <row r="107" spans="2:11" x14ac:dyDescent="0.2">
      <c r="B107" s="1">
        <v>2.2599999999999998</v>
      </c>
      <c r="C107" s="1">
        <v>64.52</v>
      </c>
      <c r="D107" s="1">
        <v>63.16</v>
      </c>
      <c r="E107" s="1">
        <v>13.68</v>
      </c>
      <c r="F107" s="1">
        <v>14.57</v>
      </c>
      <c r="G107" s="1">
        <v>6.89</v>
      </c>
      <c r="H107" s="1">
        <v>6.61</v>
      </c>
      <c r="J107" s="5">
        <f t="shared" si="2"/>
        <v>6.5058479532163788E-2</v>
      </c>
      <c r="K107" s="5">
        <f t="shared" si="3"/>
        <v>4.0638606676342434E-2</v>
      </c>
    </row>
    <row r="108" spans="2:11" x14ac:dyDescent="0.2">
      <c r="B108" s="1">
        <v>27.16</v>
      </c>
      <c r="C108" s="1">
        <v>64.47</v>
      </c>
      <c r="D108" s="1">
        <v>64.459999999999994</v>
      </c>
      <c r="E108" s="1">
        <v>18.05</v>
      </c>
      <c r="F108" s="1">
        <v>15.7</v>
      </c>
      <c r="G108" s="1">
        <v>7.52</v>
      </c>
      <c r="H108" s="1">
        <v>7.18</v>
      </c>
      <c r="J108" s="5">
        <f t="shared" si="2"/>
        <v>0.13019390581717458</v>
      </c>
      <c r="K108" s="5">
        <f t="shared" si="3"/>
        <v>4.521276595744679E-2</v>
      </c>
    </row>
    <row r="109" spans="2:11" x14ac:dyDescent="0.2">
      <c r="B109" s="1">
        <v>52.06</v>
      </c>
      <c r="C109" s="1">
        <v>64.540000000000006</v>
      </c>
      <c r="D109" s="1">
        <v>64.42</v>
      </c>
      <c r="E109" s="1">
        <v>19.079999999999998</v>
      </c>
      <c r="F109" s="1">
        <v>17.05</v>
      </c>
      <c r="G109" s="1">
        <v>8.07</v>
      </c>
      <c r="H109" s="1">
        <v>7.85</v>
      </c>
      <c r="J109" s="5">
        <f t="shared" si="2"/>
        <v>0.10639412997903552</v>
      </c>
      <c r="K109" s="5">
        <f t="shared" si="3"/>
        <v>2.7261462205700204E-2</v>
      </c>
    </row>
    <row r="110" spans="2:11" x14ac:dyDescent="0.2">
      <c r="B110" s="1">
        <v>76.95</v>
      </c>
      <c r="C110" s="1">
        <v>64.459999999999994</v>
      </c>
      <c r="D110" s="1">
        <v>64.39</v>
      </c>
      <c r="E110" s="1">
        <v>20.47</v>
      </c>
      <c r="F110" s="1">
        <v>18.66</v>
      </c>
      <c r="G110" s="1">
        <v>8.69</v>
      </c>
      <c r="H110" s="1">
        <v>8.66</v>
      </c>
      <c r="J110" s="5">
        <f t="shared" si="2"/>
        <v>8.8422081094284261E-2</v>
      </c>
      <c r="K110" s="5">
        <f t="shared" si="3"/>
        <v>3.452243958572999E-3</v>
      </c>
    </row>
    <row r="111" spans="2:11" x14ac:dyDescent="0.2">
      <c r="B111" s="1">
        <v>101.85</v>
      </c>
      <c r="C111" s="1">
        <v>64.53</v>
      </c>
      <c r="D111" s="1">
        <v>64.430000000000007</v>
      </c>
      <c r="E111" s="1">
        <v>22.01</v>
      </c>
      <c r="F111" s="1">
        <v>20.66</v>
      </c>
      <c r="G111" s="1">
        <v>9.39</v>
      </c>
      <c r="H111" s="1">
        <v>9.66</v>
      </c>
      <c r="J111" s="5">
        <f t="shared" si="2"/>
        <v>6.1335756474329907E-2</v>
      </c>
      <c r="K111" s="5">
        <f t="shared" si="3"/>
        <v>2.8753993610223596E-2</v>
      </c>
    </row>
    <row r="112" spans="2:11" x14ac:dyDescent="0.2">
      <c r="B112" s="1">
        <v>126.73</v>
      </c>
      <c r="C112" s="1">
        <v>64.5</v>
      </c>
      <c r="D112" s="1">
        <v>64.400000000000006</v>
      </c>
      <c r="E112" s="1">
        <v>24.37</v>
      </c>
      <c r="F112" s="1">
        <v>23.16</v>
      </c>
      <c r="G112" s="1">
        <v>10.35</v>
      </c>
      <c r="H112" s="1">
        <v>10.91</v>
      </c>
      <c r="J112" s="5">
        <f t="shared" si="2"/>
        <v>4.9651210504718948E-2</v>
      </c>
      <c r="K112" s="5">
        <f t="shared" si="3"/>
        <v>5.4106280193236767E-2</v>
      </c>
    </row>
    <row r="113" spans="1:11" x14ac:dyDescent="0.2">
      <c r="B113" s="1">
        <v>151.83000000000001</v>
      </c>
      <c r="C113" s="1">
        <v>64.48</v>
      </c>
      <c r="D113" s="1">
        <v>64.430000000000007</v>
      </c>
      <c r="E113" s="1">
        <v>28.43</v>
      </c>
      <c r="F113" s="1">
        <v>26.45</v>
      </c>
      <c r="G113" s="1">
        <v>12.17</v>
      </c>
      <c r="H113" s="1">
        <v>12.55</v>
      </c>
      <c r="J113" s="5">
        <f t="shared" si="2"/>
        <v>6.9644741470277896E-2</v>
      </c>
      <c r="K113" s="5">
        <f t="shared" si="3"/>
        <v>3.1224322103533344E-2</v>
      </c>
    </row>
    <row r="114" spans="1:11" s="2" customFormat="1" x14ac:dyDescent="0.2">
      <c r="A114" s="2" t="s">
        <v>7</v>
      </c>
      <c r="B114" s="3"/>
      <c r="C114" s="3"/>
      <c r="D114" s="3"/>
      <c r="E114" s="3">
        <f>AVERAGE(E2:E113)</f>
        <v>53.31482142857147</v>
      </c>
      <c r="F114" s="3"/>
      <c r="G114" s="3">
        <f>AVERAGE(G2:G113)</f>
        <v>10.087589285714285</v>
      </c>
      <c r="H114" s="3"/>
      <c r="J114" s="7">
        <f t="shared" ref="J114:K114" si="4">AVERAGE(J2:J113)</f>
        <v>0.13744408886272746</v>
      </c>
      <c r="K114" s="7">
        <f t="shared" si="4"/>
        <v>7.5762805721640555E-2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4DA2-48F2-354D-B75F-43D22D1C27EB}">
  <dimension ref="A1:M10"/>
  <sheetViews>
    <sheetView workbookViewId="0">
      <selection activeCell="H33" sqref="H33"/>
    </sheetView>
  </sheetViews>
  <sheetFormatPr baseColWidth="10" defaultRowHeight="16" x14ac:dyDescent="0.2"/>
  <sheetData>
    <row r="1" spans="1:13" x14ac:dyDescent="0.2">
      <c r="A1" t="s">
        <v>8</v>
      </c>
      <c r="B1" t="s">
        <v>9</v>
      </c>
      <c r="C1">
        <v>6.4926190000000004</v>
      </c>
      <c r="D1" t="s">
        <v>10</v>
      </c>
      <c r="E1">
        <v>2.1891312999999999E-2</v>
      </c>
      <c r="F1" t="s">
        <v>11</v>
      </c>
      <c r="G1">
        <v>4.9577736000000003E-5</v>
      </c>
      <c r="H1" t="s">
        <v>12</v>
      </c>
      <c r="I1">
        <v>6.350606</v>
      </c>
      <c r="J1" t="s">
        <v>13</v>
      </c>
      <c r="K1">
        <v>0.86657499999999998</v>
      </c>
      <c r="L1" t="s">
        <v>14</v>
      </c>
      <c r="M1">
        <v>2.694585</v>
      </c>
    </row>
    <row r="4" spans="1:13" x14ac:dyDescent="0.2">
      <c r="B4" t="str">
        <f>B1</f>
        <v>alpha</v>
      </c>
      <c r="C4" s="4">
        <f>C1</f>
        <v>6.4926190000000004</v>
      </c>
    </row>
    <row r="5" spans="1:13" x14ac:dyDescent="0.2">
      <c r="B5" t="str">
        <f>D1</f>
        <v>beta</v>
      </c>
      <c r="C5" s="4">
        <f>E1</f>
        <v>2.1891312999999999E-2</v>
      </c>
    </row>
    <row r="6" spans="1:13" x14ac:dyDescent="0.2">
      <c r="B6" t="str">
        <f>F1</f>
        <v>gamma</v>
      </c>
      <c r="C6" s="4">
        <f>G1</f>
        <v>4.9577736000000003E-5</v>
      </c>
    </row>
    <row r="8" spans="1:13" x14ac:dyDescent="0.2">
      <c r="C8" t="s">
        <v>17</v>
      </c>
      <c r="D8" t="s">
        <v>18</v>
      </c>
      <c r="E8" t="s">
        <v>19</v>
      </c>
    </row>
    <row r="9" spans="1:13" x14ac:dyDescent="0.2">
      <c r="B9" t="s">
        <v>15</v>
      </c>
      <c r="C9" s="6">
        <f>AVERAGE(data!E2:'data'!E113)</f>
        <v>53.31482142857147</v>
      </c>
      <c r="D9" s="6">
        <f>I1</f>
        <v>6.350606</v>
      </c>
      <c r="E9" s="6">
        <f>D9/C9</f>
        <v>0.11911520717570487</v>
      </c>
    </row>
    <row r="10" spans="1:13" x14ac:dyDescent="0.2">
      <c r="B10" t="s">
        <v>16</v>
      </c>
      <c r="C10" s="6">
        <f>AVERAGE(data!G2:'data'!G113)</f>
        <v>10.087589285714285</v>
      </c>
      <c r="D10" s="6">
        <f>K1</f>
        <v>0.86657499999999998</v>
      </c>
      <c r="E10" s="6">
        <f>D10/C10</f>
        <v>8.5905063683274177E-2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Asser Tantawi</dc:creator>
  <cp:lastModifiedBy>Asser Tantawi</cp:lastModifiedBy>
  <dcterms:created xsi:type="dcterms:W3CDTF">2026-04-29T17:56:33Z</dcterms:created>
  <dcterms:modified xsi:type="dcterms:W3CDTF">2026-04-29T18:12:23Z</dcterms:modified>
</cp:coreProperties>
</file>